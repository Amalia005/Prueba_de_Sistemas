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alita\Documents\u\Semestre 8\Prueba de sistemas\"/>
    </mc:Choice>
  </mc:AlternateContent>
  <xr:revisionPtr revIDLastSave="0" documentId="13_ncr:1_{ECDE7AA0-E698-49DD-A309-3047A3ECE5CF}" xr6:coauthVersionLast="47" xr6:coauthVersionMax="47" xr10:uidLastSave="{00000000-0000-0000-0000-000000000000}"/>
  <bookViews>
    <workbookView xWindow="-108" yWindow="-108" windowWidth="23256" windowHeight="14616" tabRatio="500" activeTab="4" xr2:uid="{00000000-000D-0000-FFFF-FFFF00000000}"/>
  </bookViews>
  <sheets>
    <sheet name="Instrucciones" sheetId="1" r:id="rId1"/>
    <sheet name="Escalas" sheetId="2" r:id="rId2"/>
    <sheet name="Registro de riesgos" sheetId="3" r:id="rId3"/>
    <sheet name="Matriz 3x3" sheetId="4" r:id="rId4"/>
    <sheet name="Resumen" sheetId="5" r:id="rId5"/>
  </sheets>
  <definedNames>
    <definedName name="_xlnm._FilterDatabase" localSheetId="2" hidden="1">'Registro de riesgos'!$A$4:$Q$44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0" i="3" l="1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I5" i="3"/>
  <c r="H5" i="3"/>
  <c r="E8" i="4"/>
  <c r="D8" i="4"/>
  <c r="C8" i="4"/>
  <c r="E7" i="4"/>
  <c r="D7" i="4"/>
  <c r="C7" i="4"/>
  <c r="E6" i="4"/>
  <c r="D6" i="4"/>
  <c r="C6" i="4"/>
  <c r="H44" i="3"/>
  <c r="I44" i="3" s="1"/>
  <c r="N44" i="3" s="1"/>
  <c r="H43" i="3"/>
  <c r="I43" i="3" s="1"/>
  <c r="N43" i="3" s="1"/>
  <c r="I42" i="3"/>
  <c r="N42" i="3" s="1"/>
  <c r="H42" i="3"/>
  <c r="H41" i="3"/>
  <c r="I41" i="3" s="1"/>
  <c r="N41" i="3" s="1"/>
  <c r="H40" i="3"/>
  <c r="I40" i="3" s="1"/>
  <c r="N40" i="3" s="1"/>
  <c r="H39" i="3"/>
  <c r="I39" i="3" s="1"/>
  <c r="N39" i="3" s="1"/>
  <c r="I38" i="3"/>
  <c r="N38" i="3" s="1"/>
  <c r="H38" i="3"/>
  <c r="H37" i="3"/>
  <c r="I37" i="3" s="1"/>
  <c r="N37" i="3" s="1"/>
  <c r="H36" i="3"/>
  <c r="I36" i="3" s="1"/>
  <c r="N36" i="3" s="1"/>
  <c r="H35" i="3"/>
  <c r="I35" i="3" s="1"/>
  <c r="N35" i="3" s="1"/>
  <c r="H34" i="3"/>
  <c r="I34" i="3" s="1"/>
  <c r="N34" i="3" s="1"/>
  <c r="H33" i="3"/>
  <c r="I33" i="3" s="1"/>
  <c r="N33" i="3" s="1"/>
  <c r="H32" i="3"/>
  <c r="I32" i="3" s="1"/>
  <c r="N32" i="3" s="1"/>
  <c r="H31" i="3"/>
  <c r="I31" i="3" s="1"/>
  <c r="N31" i="3" s="1"/>
  <c r="H30" i="3"/>
  <c r="I30" i="3" s="1"/>
  <c r="N30" i="3" s="1"/>
  <c r="H29" i="3"/>
  <c r="I29" i="3" s="1"/>
  <c r="N29" i="3" s="1"/>
  <c r="H28" i="3"/>
  <c r="I28" i="3" s="1"/>
  <c r="N28" i="3" s="1"/>
  <c r="H27" i="3"/>
  <c r="I27" i="3" s="1"/>
  <c r="N27" i="3" s="1"/>
  <c r="H26" i="3"/>
  <c r="I26" i="3" s="1"/>
  <c r="N26" i="3" s="1"/>
  <c r="H25" i="3"/>
  <c r="I25" i="3" s="1"/>
  <c r="N25" i="3" s="1"/>
  <c r="H24" i="3"/>
  <c r="I24" i="3" s="1"/>
  <c r="N24" i="3" s="1"/>
  <c r="H23" i="3"/>
  <c r="I23" i="3" s="1"/>
  <c r="N23" i="3" s="1"/>
  <c r="H22" i="3"/>
  <c r="I22" i="3" s="1"/>
  <c r="N22" i="3" s="1"/>
  <c r="H21" i="3"/>
  <c r="I21" i="3" s="1"/>
  <c r="N21" i="3" s="1"/>
  <c r="H20" i="3"/>
  <c r="I20" i="3" s="1"/>
  <c r="H19" i="3"/>
  <c r="I19" i="3" s="1"/>
  <c r="N19" i="3" s="1"/>
  <c r="D5" i="5" l="1"/>
  <c r="C5" i="5"/>
  <c r="C6" i="5"/>
  <c r="D6" i="5"/>
  <c r="C7" i="5"/>
  <c r="D7" i="5"/>
  <c r="C14" i="5"/>
  <c r="D14" i="5" s="1"/>
  <c r="C13" i="5"/>
  <c r="D13" i="5" s="1"/>
  <c r="E7" i="5" l="1"/>
  <c r="E5" i="5"/>
  <c r="C8" i="5"/>
  <c r="C11" i="5" s="1"/>
  <c r="D11" i="5" s="1"/>
  <c r="D8" i="5"/>
  <c r="C12" i="5" s="1"/>
  <c r="D12" i="5" s="1"/>
  <c r="E6" i="5"/>
  <c r="E8" i="5" l="1"/>
</calcChain>
</file>

<file path=xl/sharedStrings.xml><?xml version="1.0" encoding="utf-8"?>
<sst xmlns="http://schemas.openxmlformats.org/spreadsheetml/2006/main" count="329" uniqueCount="233">
  <si>
    <t>UNIVERSIDAD DE VALPARAÍSO · CIN 421 / INF423 — Prueba de Sistemas · 2° Semestre 2026</t>
  </si>
  <si>
    <t>Plantilla · Matriz de Riesgos</t>
  </si>
  <si>
    <t>Proyecto TicketU · un archivo por grupo QA y microservicio · Entrega 1</t>
  </si>
  <si>
    <t>Grupo QA</t>
  </si>
  <si>
    <t>Microservicio</t>
  </si>
  <si>
    <t>Equipo TITEC</t>
  </si>
  <si>
    <t>Versión / entrega</t>
  </si>
  <si>
    <t>Fecha</t>
  </si>
  <si>
    <t>Cómo usarla</t>
  </si>
  <si>
    <t>1. Identificar</t>
  </si>
  <si>
    <t>En «Registro de riesgos», escriban un riesgo por fila: al menos 8 de producto y 3 de proyecto. Fuentes: requisitos, historias de usuario, contrato OpenAPI y estrategia del grupo.</t>
  </si>
  <si>
    <t>2. Evaluar</t>
  </si>
  <si>
    <t>Asignen Probabilidad e Impacto de 1 a 3 según la hoja «Escalas», con acuerdo de todo el grupo.</t>
  </si>
  <si>
    <t>3. Calcular</t>
  </si>
  <si>
    <t>Nivel (P × I), Clasificación e Importancia TestLink se calculan solos: no editen las celdas grises.</t>
  </si>
  <si>
    <t>4. Responder</t>
  </si>
  <si>
    <t>Elijan la respuesta (Mitigar con pruebas, Aceptar, Transferir, Plan de contingencia) y escriban la técnica o acción concreta.</t>
  </si>
  <si>
    <t>5. Priorizar</t>
  </si>
  <si>
    <t>Definan el orden de ejecución: primero los altos, respetando dependencias técnicas y lógicas.</t>
  </si>
  <si>
    <t>6. Trazar</t>
  </si>
  <si>
    <t>Anoten el requisito o HU de origen y los IDs de los casos de TestLink que cubren cada riesgo.</t>
  </si>
  <si>
    <t>7. Monitorear</t>
  </si>
  <si>
    <t>Actualicen Estado y Revisión en cada entrega. Las hojas «Matriz 3x3» y «Resumen» se actualizan solas.</t>
  </si>
  <si>
    <t>Leyenda</t>
  </si>
  <si>
    <t>Celda amarilla</t>
  </si>
  <si>
    <t>Para completar por el grupo.</t>
  </si>
  <si>
    <t>Celda gris</t>
  </si>
  <si>
    <t>Fórmula: se calcula sola, no editar.</t>
  </si>
  <si>
    <t>Alto (6–9)</t>
  </si>
  <si>
    <t>Clasificación por nivel de riesgo (convención del curso).</t>
  </si>
  <si>
    <t>Medio (3–4)</t>
  </si>
  <si>
    <t>Bajo (1–2)</t>
  </si>
  <si>
    <t>Fuentes: ISTQB CTFL 5.5, ISTQB Agile Tester 3.2.1 y Crispin &amp; Gregory, Agile Testing, cap. 18. El curso usa una escala 1–3 por simplicidad.</t>
  </si>
  <si>
    <t>Escalas de evaluación</t>
  </si>
  <si>
    <t>Acuerden en el grupo qué significa cada valor antes de puntuar.</t>
  </si>
  <si>
    <t>Probabilidad: ¿qué tan probable es que falle?</t>
  </si>
  <si>
    <t>Valor</t>
  </si>
  <si>
    <t>Nivel</t>
  </si>
  <si>
    <t>Criterio</t>
  </si>
  <si>
    <t>Baja</t>
  </si>
  <si>
    <t>Regla simple, código estable, sin integraciones.</t>
  </si>
  <si>
    <t>Media</t>
  </si>
  <si>
    <t>Regla con varias condiciones o código cambiado recientemente.</t>
  </si>
  <si>
    <t>Alta</t>
  </si>
  <si>
    <t>Regla compleja, código nuevo, integraciones o mensajes asíncronos, tecnología nueva para el equipo.</t>
  </si>
  <si>
    <t>Impacto: ¿cuánto daño hace si falla?</t>
  </si>
  <si>
    <t>Bajo</t>
  </si>
  <si>
    <t>Molestia menor con alternativa; no afecta dinero ni acceso al evento.</t>
  </si>
  <si>
    <t>Medio</t>
  </si>
  <si>
    <t>Afecta a un grupo de usuarios o una función importante con alternativa difícil.</t>
  </si>
  <si>
    <t>Alto</t>
  </si>
  <si>
    <t>Dinero mal cobrado, asistentes sin poder entrar, datos personales expuestos o reputación del evento.</t>
  </si>
  <si>
    <t>Nivel = Probabilidad × Impacto</t>
  </si>
  <si>
    <t>Rango</t>
  </si>
  <si>
    <t>Clasificación</t>
  </si>
  <si>
    <t>Qué implica (profundidad de prueba)</t>
  </si>
  <si>
    <t>6 a 9</t>
  </si>
  <si>
    <t>Primero y a fondo: varias técnicas, positivos y negativos, retest obligatorio, también en E2E. Importancia Alta en TestLink.</t>
  </si>
  <si>
    <t>3 a 4</t>
  </si>
  <si>
    <t>Técnica principal y valores límite; se ejecuta después de los altos. Importancia Media.</t>
  </si>
  <si>
    <t>1 a 2</t>
  </si>
  <si>
    <t>Pocos casos o smoke; se puede aceptar y documentar. Importancia Baja.</t>
  </si>
  <si>
    <t>Respuesta al riesgo</t>
  </si>
  <si>
    <t>Respuesta</t>
  </si>
  <si>
    <t>Cuándo usarla</t>
  </si>
  <si>
    <t>Mitigar con pruebas</t>
  </si>
  <si>
    <t>Casos que detecten la falla y reduzcan su probabilidad o su impacto. Respuesta esperada para riesgos de producto alto y medio.</t>
  </si>
  <si>
    <t>Aceptar</t>
  </si>
  <si>
    <t>Riesgo bajo: se documenta y se prueba lo mínimo.</t>
  </si>
  <si>
    <t>Transferir</t>
  </si>
  <si>
    <t>Otro lo asume o lo comparte (otro grupo QA, equipo plataforma, otra entrega). Indiquen quién.</t>
  </si>
  <si>
    <t>Plan de contingencia</t>
  </si>
  <si>
    <t>Qué hará el grupo si el riesgo ocurre. Habitual en riesgos de proyecto.</t>
  </si>
  <si>
    <t>Amarillo: completar · Gris: fórmula (no editar) · Escala 1–3 (hoja «Escalas»)</t>
  </si>
  <si>
    <t>ID</t>
  </si>
  <si>
    <t>Tipo</t>
  </si>
  <si>
    <t>Riesgo (qué podría fallar)</t>
  </si>
  <si>
    <t>Requisito / HU</t>
  </si>
  <si>
    <t>Causa o condición</t>
  </si>
  <si>
    <t>Prob. (1-3)</t>
  </si>
  <si>
    <t>Impacto (1-3)</t>
  </si>
  <si>
    <t>Nivel P×I</t>
  </si>
  <si>
    <t>Técnica o acción</t>
  </si>
  <si>
    <t>Orden de ejecución</t>
  </si>
  <si>
    <t>Casos TestLink</t>
  </si>
  <si>
    <t>Importancia TestLink</t>
  </si>
  <si>
    <t>Responsable</t>
  </si>
  <si>
    <t>Estado</t>
  </si>
  <si>
    <t>Revisión (entrega)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</si>
  <si>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</si>
  <si>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</si>
  <si>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</si>
  <si>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</si>
  <si>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</si>
  <si>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</si>
  <si>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</si>
  <si>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</si>
  <si>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</si>
  <si>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</si>
  <si>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</si>
  <si>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</si>
  <si>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</si>
  <si>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</si>
  <si>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</si>
  <si>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</si>
  <si>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</si>
  <si>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</si>
  <si>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</si>
  <si>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</si>
  <si>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</si>
  <si>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</si>
  <si>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</si>
  <si>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</si>
  <si>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</si>
  <si>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</si>
  <si>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</si>
  <si>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</si>
  <si>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</si>
  <si>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</si>
  <si>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</si>
  <si>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</si>
  <si>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</si>
  <si>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</si>
  <si>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</si>
  <si>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</si>
  <si>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</si>
  <si>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</si>
  <si>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</si>
  <si>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</si>
  <si>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Matriz de riesgos 3 × 3</t>
  </si>
  <si>
    <t>Se calcula desde el «Registro de riesgos». Cada celda muestra el nivel (P × I) y la cantidad de riesgos.</t>
  </si>
  <si>
    <t>Prob. \ Impacto</t>
  </si>
  <si>
    <t>Bajo (1)</t>
  </si>
  <si>
    <t>Medio (2)</t>
  </si>
  <si>
    <t>Alto (3)</t>
  </si>
  <si>
    <t>Alta (3)</t>
  </si>
  <si>
    <t>6–9 · primero y a fondo</t>
  </si>
  <si>
    <t>Media (2)</t>
  </si>
  <si>
    <t>3–4 · técnica principal</t>
  </si>
  <si>
    <t>Baja (1)</t>
  </si>
  <si>
    <t>1–2 · mínimo o smoke</t>
  </si>
  <si>
    <t>Impacto →  ·  ↑ Probabilidad</t>
  </si>
  <si>
    <t>Resumen por clasificación y tipo</t>
  </si>
  <si>
    <t>Producto</t>
  </si>
  <si>
    <t>Proyecto</t>
  </si>
  <si>
    <t>Total</t>
  </si>
  <si>
    <t>Mínimo para la Entrega 1</t>
  </si>
  <si>
    <t>Riesgos de producto</t>
  </si>
  <si>
    <t>Meta: ≥ 8</t>
  </si>
  <si>
    <t>Riesgos de proyecto</t>
  </si>
  <si>
    <t>Meta: ≥ 3</t>
  </si>
  <si>
    <t>Altos/medios sin respuesta</t>
  </si>
  <si>
    <t>Meta: 0</t>
  </si>
  <si>
    <t>Altos de producto sin casos TestLink</t>
  </si>
  <si>
    <t>Check-in</t>
  </si>
  <si>
    <t>Entrega 1 · v1.0</t>
  </si>
  <si>
    <t>Registro de riesgos · Check-in · Grupo 5</t>
  </si>
  <si>
    <t>Un QR ya usado se acepta de nuevo</t>
  </si>
  <si>
    <t>HU-05, HU-06, HU-10</t>
  </si>
  <si>
    <t>Se acepta un QR de otro evento o inexistente</t>
  </si>
  <si>
    <t>HU-03, HU-04</t>
  </si>
  <si>
    <t>Un ticket válido es rechazado</t>
  </si>
  <si>
    <t>HU-04</t>
  </si>
  <si>
    <t>Un ticket repetido o incompleto se guarda mal</t>
  </si>
  <si>
    <t>Contrato (recepción de tickets)</t>
  </si>
  <si>
    <t>El contrato cambia o Entradas aún no está integrada</t>
  </si>
  <si>
    <t>Contrato</t>
  </si>
  <si>
    <t>Un cuerpo muy grande tira abajo el servicio (sin 413)</t>
  </si>
  <si>
    <t>Contrato (errores y límites)</t>
  </si>
  <si>
    <t>Se pierden tickets al reiniciar el servidor</t>
  </si>
  <si>
    <t>Contrato (persistencia)</t>
  </si>
  <si>
    <t>Se aceptan datos fuera de los límites o campos extra</t>
  </si>
  <si>
    <t>Los errores muestran detalles internos del servicio</t>
  </si>
  <si>
    <t>Un nombre con tildes o ñ se guarda mal</t>
  </si>
  <si>
    <t>La validación tarda más de 15 segundos</t>
  </si>
  <si>
    <t>HU-07</t>
  </si>
  <si>
    <t>Una conexión inestable detiene el ingreso o duplica registros</t>
  </si>
  <si>
    <t>HU-08</t>
  </si>
  <si>
    <t>El servicio no está disponible durante el evento</t>
  </si>
  <si>
    <t>HU-09</t>
  </si>
  <si>
    <t>Hay partes de las historias sin definir y no se pueden probar</t>
  </si>
  <si>
    <t>HU-08, HU-10, HU-11</t>
  </si>
  <si>
    <t>El equipo pasó de 4 a 3 integrantes y el trabajo se atrasa</t>
  </si>
  <si>
    <t>Plan de pruebas</t>
  </si>
  <si>
    <t>El servicio no marca la entrada como usada y el contrato no lo controla</t>
  </si>
  <si>
    <t>Falla al comparar el ID de la entrada y el del evento</t>
  </si>
  <si>
    <t>Error al buscar el ticket o al comparar los IDs</t>
  </si>
  <si>
    <t>Validación débil de los datos que envía Entradas</t>
  </si>
  <si>
    <t>El contrato sigue cambiando y la integración con Entradas no se ha probado</t>
  </si>
  <si>
    <t>Límite de tamaño (16 KiB) mal configurado</t>
  </si>
  <si>
    <t>La base SQLite no guarda los cambios o se recrea al iniciar</t>
  </si>
  <si>
    <t>Validación incompleta de largos y campos extra</t>
  </si>
  <si>
    <t>Mensajes de error sin controlar</t>
  </si>
  <si>
    <t>Problema de codificación de caracteres</t>
  </si>
  <si>
    <t>No se ha hecho ninguna prueba de carga</t>
  </si>
  <si>
    <t>El contrato no define qué pasa sin conexión</t>
  </si>
  <si>
    <t>El servicio corre en un solo computador, sin respaldo</t>
  </si>
  <si>
    <t>Las historias tienen partes marcadas como "por definir"</t>
  </si>
  <si>
    <t>Menos personas para el mismo trabajo</t>
  </si>
  <si>
    <t>Probar el mismo QR dos veces; si se acepta, reportar el defecto en Mantis</t>
  </si>
  <si>
    <t>CI-14, CI-15, CI-23, CI-24, CI-REC-02</t>
  </si>
  <si>
    <t>Tabla de decisión y partición: ticket existe y evento coincide</t>
  </si>
  <si>
    <t>CI-12, CI-13, CI-REC-03</t>
  </si>
  <si>
    <t>Partición: ticket válido recién guardado</t>
  </si>
  <si>
    <t>CI-11, CI-REC-01, CI-REC-04</t>
  </si>
  <si>
    <t>Partición y tabla de decisión: IDs repetidos y datos faltantes (409 y 400)</t>
  </si>
  <si>
    <t>CI-01, CI-02, CI-03, CI-04, CI-05, CI-06</t>
  </si>
  <si>
    <t>Basarnos en el contrato y revisar cambios en cada avance</t>
  </si>
  <si>
    <t>Continuo</t>
  </si>
  <si>
    <t>—</t>
  </si>
  <si>
    <t>Valores límite del tamaño del cuerpo (16 KiB)</t>
  </si>
  <si>
    <t>CI-17, CI-18</t>
  </si>
  <si>
    <t>Caja gris: guardar un ticket, reiniciar el servidor y validarlo</t>
  </si>
  <si>
    <t>CI-19</t>
  </si>
  <si>
    <t>Valores límite y partición: largos, campos extra y datos ausentes</t>
  </si>
  <si>
    <t>CI-07, CI-08, CI-09, CI-10, CI-16</t>
  </si>
  <si>
    <t>Exploratoria: caracteres especiales y JSON mal formado</t>
  </si>
  <si>
    <t>CI-20, CI-21</t>
  </si>
  <si>
    <t>Un caso de partición; se documenta y no se profundiza</t>
  </si>
  <si>
    <t>CI-22</t>
  </si>
  <si>
    <t>Medir con Locust en la Entrega 3 (meta: 15 segundos)</t>
  </si>
  <si>
    <t>CI-NF-01</t>
  </si>
  <si>
    <t>Diseñar casos de conexión inestable cuando el equipo defina qué pasa sin conexión</t>
  </si>
  <si>
    <t>CI-NF-02</t>
  </si>
  <si>
    <t>Varios escaneos seguidos y errores sin caída del servicio (Entrega 3)</t>
  </si>
  <si>
    <t>CI-NF-03</t>
  </si>
  <si>
    <t>Consultar al equipo de Check-in y probar lo que ya esté definido</t>
  </si>
  <si>
    <t>Repartir tareas entre los tres y dejar todo en /qa</t>
  </si>
  <si>
    <t>Gabriel</t>
  </si>
  <si>
    <t>Abierto</t>
  </si>
  <si>
    <t>Entrega 1</t>
  </si>
  <si>
    <t>Amalia</t>
  </si>
  <si>
    <t>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</si>
</sst>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0"/>
      <color rgb="FFC9A227"/>
      <name val="Calibri"/>
      <charset val="1"/>
    </font>
    <font>
      <b/>
      <sz val="20"/>
      <color rgb="FF0B3D59"/>
      <name val="Calibri"/>
      <charset val="1"/>
    </font>
    <font>
      <i/>
      <sz val="11"/>
      <color rgb="FF222222"/>
      <name val="Calibri"/>
      <charset val="1"/>
    </font>
    <font>
      <b/>
      <sz val="11"/>
      <color rgb="FF0B3D59"/>
      <name val="Calibri"/>
      <charset val="1"/>
    </font>
    <font>
      <sz val="11"/>
      <name val="Calibri"/>
      <charset val="1"/>
    </font>
    <font>
      <b/>
      <sz val="14"/>
      <color rgb="FF0B3D59"/>
      <name val="Calibri"/>
      <charset val="1"/>
    </font>
    <font>
      <sz val="11"/>
      <color rgb="FF222222"/>
      <name val="Calibri"/>
      <charset val="1"/>
    </font>
    <font>
      <b/>
      <sz val="11"/>
      <color rgb="FF222222"/>
      <name val="Calibri"/>
      <charset val="1"/>
    </font>
    <font>
      <b/>
      <sz val="11"/>
      <color rgb="FFFFFFFF"/>
      <name val="Calibri"/>
      <charset val="1"/>
    </font>
    <font>
      <i/>
      <sz val="10"/>
      <color rgb="FF666666"/>
      <name val="Calibri"/>
      <charset val="1"/>
    </font>
    <font>
      <b/>
      <sz val="18"/>
      <color rgb="FF0B3D59"/>
      <name val="Calibri"/>
      <charset val="1"/>
    </font>
    <font>
      <b/>
      <sz val="13"/>
      <color rgb="FFC9A227"/>
      <name val="Calibri"/>
      <charset val="1"/>
    </font>
    <font>
      <b/>
      <sz val="16"/>
      <color rgb="FF0B3D59"/>
      <name val="Calibri"/>
      <charset val="1"/>
    </font>
    <font>
      <i/>
      <sz val="10"/>
      <color rgb="FF222222"/>
      <name val="Calibri"/>
      <charset val="1"/>
    </font>
    <font>
      <u/>
      <sz val="11"/>
      <color rgb="FF22222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4CC"/>
        <bgColor rgb="FFEDEFF2"/>
      </patternFill>
    </fill>
    <fill>
      <patternFill patternType="solid">
        <fgColor rgb="FFEDEFF2"/>
        <bgColor rgb="FFFFFFFF"/>
      </patternFill>
    </fill>
    <fill>
      <patternFill patternType="solid">
        <fgColor rgb="FFB83A3A"/>
        <bgColor rgb="FF993366"/>
      </patternFill>
    </fill>
    <fill>
      <patternFill patternType="solid">
        <fgColor rgb="FFE0B324"/>
        <bgColor rgb="FFC9A227"/>
      </patternFill>
    </fill>
    <fill>
      <patternFill patternType="solid">
        <fgColor rgb="FF2E7D4F"/>
        <bgColor rgb="FF008080"/>
      </patternFill>
    </fill>
    <fill>
      <patternFill patternType="solid">
        <fgColor rgb="FF0B3D59"/>
        <bgColor rgb="FF222222"/>
      </patternFill>
    </fill>
  </fills>
  <borders count="2">
    <border>
      <left/>
      <right/>
      <top/>
      <bottom/>
      <diagonal/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2" borderId="1" xfId="0" applyFont="1" applyFill="1" applyBorder="1"/>
    <xf numFmtId="0" fontId="7" fillId="0" borderId="0" xfId="0" applyFont="1"/>
    <xf numFmtId="0" fontId="8" fillId="3" borderId="1" xfId="0" applyFont="1" applyFill="1" applyBorder="1"/>
    <xf numFmtId="0" fontId="9" fillId="4" borderId="1" xfId="0" applyFont="1" applyFill="1" applyBorder="1"/>
    <xf numFmtId="0" fontId="9" fillId="5" borderId="1" xfId="0" applyFont="1" applyFill="1" applyBorder="1"/>
    <xf numFmtId="0" fontId="9" fillId="6" borderId="1" xfId="0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b/>
        <color rgb="FFFFFFFF"/>
        <name val="Calibri"/>
        <charset val="1"/>
      </font>
      <fill>
        <patternFill>
          <bgColor rgb="FFB83A3A"/>
        </patternFill>
      </fill>
    </dxf>
    <dxf>
      <font>
        <b/>
        <color rgb="FFFFFFFF"/>
        <name val="Calibri"/>
        <charset val="1"/>
      </font>
      <fill>
        <patternFill>
          <bgColor rgb="FF2E7D4F"/>
        </patternFill>
      </fill>
    </dxf>
    <dxf>
      <font>
        <b/>
        <color rgb="FFFFFFFF"/>
        <name val="Calibri"/>
        <charset val="1"/>
      </font>
      <fill>
        <patternFill>
          <bgColor rgb="FF2E7D4F"/>
        </patternFill>
      </fill>
    </dxf>
    <dxf>
      <font>
        <b/>
        <color rgb="FFFFFFFF"/>
        <name val="Calibri"/>
        <charset val="1"/>
      </font>
      <fill>
        <patternFill>
          <bgColor rgb="FFE0B324"/>
        </patternFill>
      </fill>
    </dxf>
    <dxf>
      <font>
        <b/>
        <color rgb="FFFFFFFF"/>
        <name val="Calibri"/>
        <charset val="1"/>
      </font>
      <fill>
        <patternFill>
          <bgColor rgb="FFB83A3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83A3A"/>
      <rgbColor rgb="FFFFF4CC"/>
      <rgbColor rgb="FFEDEFF2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0B324"/>
      <rgbColor rgb="FFC9A227"/>
      <rgbColor rgb="FFFF6600"/>
      <rgbColor rgb="FF666666"/>
      <rgbColor rgb="FF969696"/>
      <rgbColor rgb="FF0B3D59"/>
      <rgbColor rgb="FF2E7D4F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3D59"/>
  </sheetPr>
  <dimension ref="B2:C28"/>
  <sheetViews>
    <sheetView showGridLines="0" zoomScaleNormal="100" workbookViewId="0">
      <selection activeCell="C15" sqref="C15"/>
    </sheetView>
  </sheetViews>
  <sheetFormatPr baseColWidth="10" defaultColWidth="8.6640625" defaultRowHeight="14.4" x14ac:dyDescent="0.3"/>
  <cols>
    <col min="1" max="1" width="3" customWidth="1"/>
    <col min="2" max="2" width="24" customWidth="1"/>
    <col min="3" max="3" width="95" customWidth="1"/>
  </cols>
  <sheetData>
    <row r="2" spans="2:3" x14ac:dyDescent="0.3">
      <c r="B2" s="1" t="s">
        <v>0</v>
      </c>
    </row>
    <row r="3" spans="2:3" ht="25.8" x14ac:dyDescent="0.5">
      <c r="B3" s="2" t="s">
        <v>1</v>
      </c>
    </row>
    <row r="4" spans="2:3" x14ac:dyDescent="0.3">
      <c r="B4" s="3" t="s">
        <v>2</v>
      </c>
    </row>
    <row r="6" spans="2:3" x14ac:dyDescent="0.3">
      <c r="B6" s="4" t="s">
        <v>3</v>
      </c>
      <c r="C6" s="5">
        <v>5</v>
      </c>
    </row>
    <row r="7" spans="2:3" x14ac:dyDescent="0.3">
      <c r="B7" s="4" t="s">
        <v>4</v>
      </c>
      <c r="C7" s="27" t="s">
        <v>154</v>
      </c>
    </row>
    <row r="8" spans="2:3" x14ac:dyDescent="0.3">
      <c r="B8" s="4" t="s">
        <v>5</v>
      </c>
      <c r="C8" s="27">
        <v>5</v>
      </c>
    </row>
    <row r="9" spans="2:3" x14ac:dyDescent="0.3">
      <c r="B9" s="4" t="s">
        <v>6</v>
      </c>
      <c r="C9" s="27" t="s">
        <v>155</v>
      </c>
    </row>
    <row r="10" spans="2:3" x14ac:dyDescent="0.3">
      <c r="B10" s="4" t="s">
        <v>7</v>
      </c>
      <c r="C10" s="31">
        <v>46318</v>
      </c>
    </row>
    <row r="12" spans="2:3" ht="18" x14ac:dyDescent="0.35">
      <c r="B12" s="6" t="s">
        <v>8</v>
      </c>
    </row>
    <row r="13" spans="2:3" ht="31.5" customHeight="1" x14ac:dyDescent="0.3">
      <c r="B13" s="4" t="s">
        <v>9</v>
      </c>
      <c r="C13" s="7" t="s">
        <v>10</v>
      </c>
    </row>
    <row r="14" spans="2:3" ht="31.5" customHeight="1" x14ac:dyDescent="0.3">
      <c r="B14" s="4" t="s">
        <v>11</v>
      </c>
      <c r="C14" s="7" t="s">
        <v>12</v>
      </c>
    </row>
    <row r="15" spans="2:3" ht="31.5" customHeight="1" x14ac:dyDescent="0.3">
      <c r="B15" s="4" t="s">
        <v>13</v>
      </c>
      <c r="C15" s="7" t="s">
        <v>14</v>
      </c>
    </row>
    <row r="16" spans="2:3" ht="31.5" customHeight="1" x14ac:dyDescent="0.3">
      <c r="B16" s="4" t="s">
        <v>15</v>
      </c>
      <c r="C16" s="7" t="s">
        <v>16</v>
      </c>
    </row>
    <row r="17" spans="2:3" ht="31.5" customHeight="1" x14ac:dyDescent="0.3">
      <c r="B17" s="4" t="s">
        <v>17</v>
      </c>
      <c r="C17" s="7" t="s">
        <v>18</v>
      </c>
    </row>
    <row r="18" spans="2:3" ht="31.5" customHeight="1" x14ac:dyDescent="0.3">
      <c r="B18" s="4" t="s">
        <v>19</v>
      </c>
      <c r="C18" s="7" t="s">
        <v>20</v>
      </c>
    </row>
    <row r="19" spans="2:3" ht="31.5" customHeight="1" x14ac:dyDescent="0.3">
      <c r="B19" s="4" t="s">
        <v>21</v>
      </c>
      <c r="C19" s="7" t="s">
        <v>22</v>
      </c>
    </row>
    <row r="21" spans="2:3" ht="18" x14ac:dyDescent="0.35">
      <c r="B21" s="6" t="s">
        <v>23</v>
      </c>
    </row>
    <row r="22" spans="2:3" x14ac:dyDescent="0.3">
      <c r="B22" s="8" t="s">
        <v>24</v>
      </c>
      <c r="C22" s="9" t="s">
        <v>25</v>
      </c>
    </row>
    <row r="23" spans="2:3" x14ac:dyDescent="0.3">
      <c r="B23" s="10" t="s">
        <v>26</v>
      </c>
      <c r="C23" s="9" t="s">
        <v>27</v>
      </c>
    </row>
    <row r="24" spans="2:3" x14ac:dyDescent="0.3">
      <c r="B24" s="11" t="s">
        <v>28</v>
      </c>
      <c r="C24" s="9" t="s">
        <v>29</v>
      </c>
    </row>
    <row r="25" spans="2:3" x14ac:dyDescent="0.3">
      <c r="B25" s="12" t="s">
        <v>30</v>
      </c>
      <c r="C25" s="9" t="s">
        <v>29</v>
      </c>
    </row>
    <row r="26" spans="2:3" x14ac:dyDescent="0.3">
      <c r="B26" s="13" t="s">
        <v>31</v>
      </c>
      <c r="C26" s="9" t="s">
        <v>29</v>
      </c>
    </row>
    <row r="28" spans="2:3" x14ac:dyDescent="0.3">
      <c r="B28" s="14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3D59"/>
  </sheetPr>
  <dimension ref="B2:D28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10" customWidth="1"/>
    <col min="3" max="3" width="16" customWidth="1"/>
    <col min="4" max="4" width="90" customWidth="1"/>
  </cols>
  <sheetData>
    <row r="2" spans="2:4" ht="23.4" x14ac:dyDescent="0.45">
      <c r="B2" s="15" t="s">
        <v>33</v>
      </c>
    </row>
    <row r="3" spans="2:4" x14ac:dyDescent="0.3">
      <c r="B3" s="3" t="s">
        <v>34</v>
      </c>
    </row>
    <row r="5" spans="2:4" ht="17.399999999999999" x14ac:dyDescent="0.35">
      <c r="B5" s="16" t="s">
        <v>35</v>
      </c>
    </row>
    <row r="6" spans="2:4" x14ac:dyDescent="0.3">
      <c r="B6" s="17" t="s">
        <v>36</v>
      </c>
      <c r="C6" s="17" t="s">
        <v>37</v>
      </c>
      <c r="D6" s="17" t="s">
        <v>38</v>
      </c>
    </row>
    <row r="7" spans="2:4" ht="30" customHeight="1" x14ac:dyDescent="0.3">
      <c r="B7" s="18">
        <v>1</v>
      </c>
      <c r="C7" s="18" t="s">
        <v>39</v>
      </c>
      <c r="D7" s="19" t="s">
        <v>40</v>
      </c>
    </row>
    <row r="8" spans="2:4" ht="30" customHeight="1" x14ac:dyDescent="0.3">
      <c r="B8" s="18">
        <v>2</v>
      </c>
      <c r="C8" s="18" t="s">
        <v>41</v>
      </c>
      <c r="D8" s="19" t="s">
        <v>42</v>
      </c>
    </row>
    <row r="9" spans="2:4" ht="30" customHeight="1" x14ac:dyDescent="0.3">
      <c r="B9" s="18">
        <v>3</v>
      </c>
      <c r="C9" s="18" t="s">
        <v>43</v>
      </c>
      <c r="D9" s="19" t="s">
        <v>44</v>
      </c>
    </row>
    <row r="11" spans="2:4" ht="17.399999999999999" x14ac:dyDescent="0.35">
      <c r="B11" s="16" t="s">
        <v>45</v>
      </c>
    </row>
    <row r="12" spans="2:4" x14ac:dyDescent="0.3">
      <c r="B12" s="17" t="s">
        <v>36</v>
      </c>
      <c r="C12" s="17" t="s">
        <v>37</v>
      </c>
      <c r="D12" s="17" t="s">
        <v>38</v>
      </c>
    </row>
    <row r="13" spans="2:4" ht="30" customHeight="1" x14ac:dyDescent="0.3">
      <c r="B13" s="18">
        <v>1</v>
      </c>
      <c r="C13" s="18" t="s">
        <v>46</v>
      </c>
      <c r="D13" s="19" t="s">
        <v>47</v>
      </c>
    </row>
    <row r="14" spans="2:4" ht="30" customHeight="1" x14ac:dyDescent="0.3">
      <c r="B14" s="18">
        <v>2</v>
      </c>
      <c r="C14" s="18" t="s">
        <v>48</v>
      </c>
      <c r="D14" s="19" t="s">
        <v>49</v>
      </c>
    </row>
    <row r="15" spans="2:4" ht="30" customHeight="1" x14ac:dyDescent="0.3">
      <c r="B15" s="18">
        <v>3</v>
      </c>
      <c r="C15" s="18" t="s">
        <v>50</v>
      </c>
      <c r="D15" s="19" t="s">
        <v>51</v>
      </c>
    </row>
    <row r="17" spans="2:4" ht="17.399999999999999" x14ac:dyDescent="0.35">
      <c r="B17" s="16" t="s">
        <v>52</v>
      </c>
    </row>
    <row r="18" spans="2:4" x14ac:dyDescent="0.3">
      <c r="B18" s="17" t="s">
        <v>53</v>
      </c>
      <c r="C18" s="17" t="s">
        <v>54</v>
      </c>
      <c r="D18" s="17" t="s">
        <v>55</v>
      </c>
    </row>
    <row r="19" spans="2:4" ht="31.5" customHeight="1" x14ac:dyDescent="0.3">
      <c r="B19" s="18" t="s">
        <v>56</v>
      </c>
      <c r="C19" s="20" t="s">
        <v>50</v>
      </c>
      <c r="D19" s="19" t="s">
        <v>57</v>
      </c>
    </row>
    <row r="20" spans="2:4" ht="31.5" customHeight="1" x14ac:dyDescent="0.3">
      <c r="B20" s="18" t="s">
        <v>58</v>
      </c>
      <c r="C20" s="21" t="s">
        <v>48</v>
      </c>
      <c r="D20" s="19" t="s">
        <v>59</v>
      </c>
    </row>
    <row r="21" spans="2:4" ht="31.5" customHeight="1" x14ac:dyDescent="0.3">
      <c r="B21" s="18" t="s">
        <v>60</v>
      </c>
      <c r="C21" s="22" t="s">
        <v>46</v>
      </c>
      <c r="D21" s="19" t="s">
        <v>61</v>
      </c>
    </row>
    <row r="23" spans="2:4" ht="17.399999999999999" x14ac:dyDescent="0.35">
      <c r="B23" s="16" t="s">
        <v>62</v>
      </c>
    </row>
    <row r="24" spans="2:4" x14ac:dyDescent="0.3">
      <c r="B24" s="17" t="s">
        <v>63</v>
      </c>
      <c r="C24" s="17"/>
      <c r="D24" s="17" t="s">
        <v>64</v>
      </c>
    </row>
    <row r="25" spans="2:4" ht="30" customHeight="1" x14ac:dyDescent="0.3">
      <c r="B25" s="18" t="s">
        <v>65</v>
      </c>
      <c r="C25" s="18"/>
      <c r="D25" s="19" t="s">
        <v>66</v>
      </c>
    </row>
    <row r="26" spans="2:4" ht="30" customHeight="1" x14ac:dyDescent="0.3">
      <c r="B26" s="18" t="s">
        <v>67</v>
      </c>
      <c r="C26" s="18"/>
      <c r="D26" s="19" t="s">
        <v>68</v>
      </c>
    </row>
    <row r="27" spans="2:4" ht="30" customHeight="1" x14ac:dyDescent="0.3">
      <c r="B27" s="18" t="s">
        <v>69</v>
      </c>
      <c r="C27" s="18"/>
      <c r="D27" s="19" t="s">
        <v>70</v>
      </c>
    </row>
    <row r="28" spans="2:4" ht="30" customHeight="1" x14ac:dyDescent="0.3">
      <c r="B28" s="18" t="s">
        <v>71</v>
      </c>
      <c r="C28" s="18"/>
      <c r="D28" s="19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3D59"/>
  </sheetPr>
  <dimension ref="A1:Q44"/>
  <sheetViews>
    <sheetView showGridLines="0" zoomScaleNormal="100" workbookViewId="0">
      <pane xSplit="3" ySplit="4" topLeftCell="D7" activePane="bottomRight" state="frozen"/>
      <selection pane="topRight" activeCell="D1" sqref="D1"/>
      <selection pane="bottomLeft" activeCell="A5" sqref="A5"/>
      <selection pane="bottomRight" activeCell="S14" sqref="S14"/>
    </sheetView>
  </sheetViews>
  <sheetFormatPr baseColWidth="10" defaultColWidth="8.6640625" defaultRowHeight="14.4" x14ac:dyDescent="0.3"/>
  <cols>
    <col min="1" max="1" width="6" customWidth="1"/>
    <col min="2" max="2" width="11" customWidth="1"/>
    <col min="3" max="3" width="25.88671875" customWidth="1"/>
    <col min="4" max="4" width="18.77734375" customWidth="1"/>
    <col min="5" max="5" width="28" customWidth="1"/>
    <col min="6" max="8" width="9" customWidth="1"/>
    <col min="9" max="9" width="12" customWidth="1"/>
    <col min="10" max="10" width="20" customWidth="1"/>
    <col min="11" max="11" width="38" customWidth="1"/>
    <col min="12" max="12" width="10" customWidth="1"/>
    <col min="13" max="13" width="18" customWidth="1"/>
    <col min="14" max="14" width="12" customWidth="1"/>
    <col min="15" max="15" width="16" customWidth="1"/>
    <col min="16" max="17" width="14" customWidth="1"/>
  </cols>
  <sheetData>
    <row r="1" spans="1:17" ht="21" x14ac:dyDescent="0.4">
      <c r="A1" s="23" t="s">
        <v>156</v>
      </c>
    </row>
    <row r="2" spans="1:17" x14ac:dyDescent="0.3">
      <c r="A2" s="24" t="s">
        <v>73</v>
      </c>
    </row>
    <row r="4" spans="1:17" ht="33.75" customHeight="1" x14ac:dyDescent="0.3">
      <c r="A4" s="17" t="s">
        <v>74</v>
      </c>
      <c r="B4" s="17" t="s">
        <v>75</v>
      </c>
      <c r="C4" s="17" t="s">
        <v>76</v>
      </c>
      <c r="D4" s="17" t="s">
        <v>77</v>
      </c>
      <c r="E4" s="17" t="s">
        <v>78</v>
      </c>
      <c r="F4" s="17" t="s">
        <v>79</v>
      </c>
      <c r="G4" s="17" t="s">
        <v>80</v>
      </c>
      <c r="H4" s="17" t="s">
        <v>81</v>
      </c>
      <c r="I4" s="17" t="s">
        <v>54</v>
      </c>
      <c r="J4" s="17" t="s">
        <v>63</v>
      </c>
      <c r="K4" s="17" t="s">
        <v>82</v>
      </c>
      <c r="L4" s="17" t="s">
        <v>83</v>
      </c>
      <c r="M4" s="17" t="s">
        <v>84</v>
      </c>
      <c r="N4" s="17" t="s">
        <v>85</v>
      </c>
      <c r="O4" s="17" t="s">
        <v>86</v>
      </c>
      <c r="P4" s="17" t="s">
        <v>87</v>
      </c>
      <c r="Q4" s="17" t="s">
        <v>88</v>
      </c>
    </row>
    <row r="5" spans="1:17" ht="43.2" x14ac:dyDescent="0.3">
      <c r="A5" s="25" t="s">
        <v>89</v>
      </c>
      <c r="B5" s="27" t="s">
        <v>143</v>
      </c>
      <c r="C5" s="27" t="s">
        <v>157</v>
      </c>
      <c r="D5" s="27" t="s">
        <v>158</v>
      </c>
      <c r="E5" s="27" t="s">
        <v>184</v>
      </c>
      <c r="F5" s="27">
        <v>3</v>
      </c>
      <c r="G5" s="27">
        <v>3</v>
      </c>
      <c r="H5" s="28">
        <f>IF(OR(F5="",G5=""),"",F5*G5)</f>
        <v>9</v>
      </c>
      <c r="I5" s="28" t="str">
        <f>IF(H5="","",IF(H5&gt;=6,"Alto",IF(H5&gt;=3,"Medio","Bajo")))</f>
        <v>Alto</v>
      </c>
      <c r="J5" s="27" t="s">
        <v>65</v>
      </c>
      <c r="K5" s="27" t="s">
        <v>199</v>
      </c>
      <c r="L5" s="27">
        <v>4</v>
      </c>
      <c r="M5" s="27" t="s">
        <v>200</v>
      </c>
      <c r="N5" s="28" t="str">
        <f>IF(I5="","",IF(I5="Alto","Alta",IF(I5="Medio","Media","Baja")))</f>
        <v>Alta</v>
      </c>
      <c r="O5" s="26" t="s">
        <v>228</v>
      </c>
      <c r="P5" s="26" t="s">
        <v>229</v>
      </c>
      <c r="Q5" s="26" t="s">
        <v>230</v>
      </c>
    </row>
    <row r="6" spans="1:17" ht="28.8" x14ac:dyDescent="0.3">
      <c r="A6" s="25" t="s">
        <v>90</v>
      </c>
      <c r="B6" s="27" t="s">
        <v>143</v>
      </c>
      <c r="C6" s="27" t="s">
        <v>159</v>
      </c>
      <c r="D6" s="27" t="s">
        <v>160</v>
      </c>
      <c r="E6" s="27" t="s">
        <v>185</v>
      </c>
      <c r="F6" s="27">
        <v>2</v>
      </c>
      <c r="G6" s="27">
        <v>3</v>
      </c>
      <c r="H6" s="28">
        <f t="shared" ref="H6:H18" si="0">IF(OR(F6="",G6=""),"",F6*G6)</f>
        <v>6</v>
      </c>
      <c r="I6" s="28" t="str">
        <f t="shared" ref="I6:I18" si="1">IF(H6="","",IF(H6&gt;=6,"Alto",IF(H6&gt;=3,"Medio","Bajo")))</f>
        <v>Alto</v>
      </c>
      <c r="J6" s="27" t="s">
        <v>65</v>
      </c>
      <c r="K6" s="27" t="s">
        <v>201</v>
      </c>
      <c r="L6" s="27">
        <v>3</v>
      </c>
      <c r="M6" s="27" t="s">
        <v>202</v>
      </c>
      <c r="N6" s="28" t="str">
        <f t="shared" ref="N6:N18" si="2">IF(I6="","",IF(I6="Alto","Alta",IF(I6="Medio","Media","Baja")))</f>
        <v>Alta</v>
      </c>
      <c r="O6" s="26" t="s">
        <v>228</v>
      </c>
      <c r="P6" s="26" t="s">
        <v>229</v>
      </c>
      <c r="Q6" s="26" t="s">
        <v>230</v>
      </c>
    </row>
    <row r="7" spans="1:17" ht="28.8" x14ac:dyDescent="0.3">
      <c r="A7" s="25" t="s">
        <v>91</v>
      </c>
      <c r="B7" s="27" t="s">
        <v>143</v>
      </c>
      <c r="C7" s="27" t="s">
        <v>161</v>
      </c>
      <c r="D7" s="27" t="s">
        <v>162</v>
      </c>
      <c r="E7" s="27" t="s">
        <v>186</v>
      </c>
      <c r="F7" s="27">
        <v>2</v>
      </c>
      <c r="G7" s="27">
        <v>3</v>
      </c>
      <c r="H7" s="28">
        <f t="shared" si="0"/>
        <v>6</v>
      </c>
      <c r="I7" s="28" t="str">
        <f t="shared" si="1"/>
        <v>Alto</v>
      </c>
      <c r="J7" s="27" t="s">
        <v>65</v>
      </c>
      <c r="K7" s="27" t="s">
        <v>203</v>
      </c>
      <c r="L7" s="27">
        <v>2</v>
      </c>
      <c r="M7" s="27" t="s">
        <v>204</v>
      </c>
      <c r="N7" s="28" t="str">
        <f t="shared" si="2"/>
        <v>Alta</v>
      </c>
      <c r="O7" s="26" t="s">
        <v>231</v>
      </c>
      <c r="P7" s="26" t="s">
        <v>229</v>
      </c>
      <c r="Q7" s="26" t="s">
        <v>230</v>
      </c>
    </row>
    <row r="8" spans="1:17" ht="28.8" x14ac:dyDescent="0.3">
      <c r="A8" s="25" t="s">
        <v>92</v>
      </c>
      <c r="B8" s="27" t="s">
        <v>143</v>
      </c>
      <c r="C8" s="27" t="s">
        <v>163</v>
      </c>
      <c r="D8" s="27" t="s">
        <v>164</v>
      </c>
      <c r="E8" s="27" t="s">
        <v>187</v>
      </c>
      <c r="F8" s="27">
        <v>2</v>
      </c>
      <c r="G8" s="27">
        <v>3</v>
      </c>
      <c r="H8" s="28">
        <f t="shared" si="0"/>
        <v>6</v>
      </c>
      <c r="I8" s="28" t="str">
        <f t="shared" si="1"/>
        <v>Alto</v>
      </c>
      <c r="J8" s="27" t="s">
        <v>65</v>
      </c>
      <c r="K8" s="27" t="s">
        <v>205</v>
      </c>
      <c r="L8" s="27">
        <v>1</v>
      </c>
      <c r="M8" s="27" t="s">
        <v>206</v>
      </c>
      <c r="N8" s="28" t="str">
        <f t="shared" si="2"/>
        <v>Alta</v>
      </c>
      <c r="O8" s="26" t="s">
        <v>231</v>
      </c>
      <c r="P8" s="26" t="s">
        <v>229</v>
      </c>
      <c r="Q8" s="26" t="s">
        <v>230</v>
      </c>
    </row>
    <row r="9" spans="1:17" ht="43.2" x14ac:dyDescent="0.3">
      <c r="A9" s="25" t="s">
        <v>93</v>
      </c>
      <c r="B9" s="27" t="s">
        <v>144</v>
      </c>
      <c r="C9" s="27" t="s">
        <v>165</v>
      </c>
      <c r="D9" s="27" t="s">
        <v>166</v>
      </c>
      <c r="E9" s="27" t="s">
        <v>188</v>
      </c>
      <c r="F9" s="27">
        <v>3</v>
      </c>
      <c r="G9" s="27">
        <v>2</v>
      </c>
      <c r="H9" s="28">
        <f t="shared" si="0"/>
        <v>6</v>
      </c>
      <c r="I9" s="28" t="str">
        <f t="shared" si="1"/>
        <v>Alto</v>
      </c>
      <c r="J9" s="27" t="s">
        <v>71</v>
      </c>
      <c r="K9" s="27" t="s">
        <v>207</v>
      </c>
      <c r="L9" s="27" t="s">
        <v>208</v>
      </c>
      <c r="M9" s="27" t="s">
        <v>209</v>
      </c>
      <c r="N9" s="28" t="str">
        <f t="shared" si="2"/>
        <v>Alta</v>
      </c>
      <c r="O9" s="26" t="s">
        <v>232</v>
      </c>
      <c r="P9" s="26" t="s">
        <v>229</v>
      </c>
      <c r="Q9" s="26" t="s">
        <v>230</v>
      </c>
    </row>
    <row r="10" spans="1:17" ht="28.8" x14ac:dyDescent="0.3">
      <c r="A10" s="25" t="s">
        <v>94</v>
      </c>
      <c r="B10" s="27" t="s">
        <v>143</v>
      </c>
      <c r="C10" s="27" t="s">
        <v>167</v>
      </c>
      <c r="D10" s="27" t="s">
        <v>168</v>
      </c>
      <c r="E10" s="27" t="s">
        <v>189</v>
      </c>
      <c r="F10" s="27">
        <v>1</v>
      </c>
      <c r="G10" s="27">
        <v>3</v>
      </c>
      <c r="H10" s="28">
        <f t="shared" si="0"/>
        <v>3</v>
      </c>
      <c r="I10" s="28" t="str">
        <f t="shared" si="1"/>
        <v>Medio</v>
      </c>
      <c r="J10" s="27" t="s">
        <v>65</v>
      </c>
      <c r="K10" s="27" t="s">
        <v>210</v>
      </c>
      <c r="L10" s="27">
        <v>6</v>
      </c>
      <c r="M10" s="27" t="s">
        <v>211</v>
      </c>
      <c r="N10" s="28" t="str">
        <f t="shared" si="2"/>
        <v>Media</v>
      </c>
      <c r="O10" s="26" t="s">
        <v>228</v>
      </c>
      <c r="P10" s="26" t="s">
        <v>229</v>
      </c>
      <c r="Q10" s="26" t="s">
        <v>230</v>
      </c>
    </row>
    <row r="11" spans="1:17" ht="28.8" x14ac:dyDescent="0.3">
      <c r="A11" s="25" t="s">
        <v>95</v>
      </c>
      <c r="B11" s="27" t="s">
        <v>143</v>
      </c>
      <c r="C11" s="27" t="s">
        <v>169</v>
      </c>
      <c r="D11" s="27" t="s">
        <v>170</v>
      </c>
      <c r="E11" s="27" t="s">
        <v>190</v>
      </c>
      <c r="F11" s="27">
        <v>1</v>
      </c>
      <c r="G11" s="27">
        <v>3</v>
      </c>
      <c r="H11" s="28">
        <f t="shared" si="0"/>
        <v>3</v>
      </c>
      <c r="I11" s="28" t="str">
        <f t="shared" si="1"/>
        <v>Medio</v>
      </c>
      <c r="J11" s="27" t="s">
        <v>65</v>
      </c>
      <c r="K11" s="27" t="s">
        <v>212</v>
      </c>
      <c r="L11" s="27">
        <v>7</v>
      </c>
      <c r="M11" s="27" t="s">
        <v>213</v>
      </c>
      <c r="N11" s="28" t="str">
        <f t="shared" si="2"/>
        <v>Media</v>
      </c>
      <c r="O11" s="26" t="s">
        <v>231</v>
      </c>
      <c r="P11" s="26" t="s">
        <v>229</v>
      </c>
      <c r="Q11" s="26" t="s">
        <v>230</v>
      </c>
    </row>
    <row r="12" spans="1:17" ht="28.8" x14ac:dyDescent="0.3">
      <c r="A12" s="25" t="s">
        <v>96</v>
      </c>
      <c r="B12" s="27" t="s">
        <v>143</v>
      </c>
      <c r="C12" s="27" t="s">
        <v>171</v>
      </c>
      <c r="D12" s="27" t="s">
        <v>164</v>
      </c>
      <c r="E12" s="27" t="s">
        <v>191</v>
      </c>
      <c r="F12" s="27">
        <v>2</v>
      </c>
      <c r="G12" s="27">
        <v>2</v>
      </c>
      <c r="H12" s="28">
        <f t="shared" si="0"/>
        <v>4</v>
      </c>
      <c r="I12" s="28" t="str">
        <f t="shared" si="1"/>
        <v>Medio</v>
      </c>
      <c r="J12" s="27" t="s">
        <v>65</v>
      </c>
      <c r="K12" s="27" t="s">
        <v>214</v>
      </c>
      <c r="L12" s="27">
        <v>5</v>
      </c>
      <c r="M12" s="27" t="s">
        <v>215</v>
      </c>
      <c r="N12" s="28" t="str">
        <f t="shared" si="2"/>
        <v>Media</v>
      </c>
      <c r="O12" s="26" t="s">
        <v>231</v>
      </c>
      <c r="P12" s="26" t="s">
        <v>229</v>
      </c>
      <c r="Q12" s="26" t="s">
        <v>230</v>
      </c>
    </row>
    <row r="13" spans="1:17" ht="28.8" x14ac:dyDescent="0.3">
      <c r="A13" s="25" t="s">
        <v>97</v>
      </c>
      <c r="B13" s="27" t="s">
        <v>143</v>
      </c>
      <c r="C13" s="27" t="s">
        <v>172</v>
      </c>
      <c r="D13" s="27" t="s">
        <v>168</v>
      </c>
      <c r="E13" s="27" t="s">
        <v>192</v>
      </c>
      <c r="F13" s="27">
        <v>1</v>
      </c>
      <c r="G13" s="27">
        <v>3</v>
      </c>
      <c r="H13" s="28">
        <f t="shared" si="0"/>
        <v>3</v>
      </c>
      <c r="I13" s="28" t="str">
        <f t="shared" si="1"/>
        <v>Medio</v>
      </c>
      <c r="J13" s="27" t="s">
        <v>65</v>
      </c>
      <c r="K13" s="27" t="s">
        <v>216</v>
      </c>
      <c r="L13" s="27">
        <v>8</v>
      </c>
      <c r="M13" s="27" t="s">
        <v>217</v>
      </c>
      <c r="N13" s="28" t="str">
        <f t="shared" si="2"/>
        <v>Media</v>
      </c>
      <c r="O13" s="26" t="s">
        <v>228</v>
      </c>
      <c r="P13" s="26" t="s">
        <v>229</v>
      </c>
      <c r="Q13" s="26" t="s">
        <v>230</v>
      </c>
    </row>
    <row r="14" spans="1:17" ht="28.8" x14ac:dyDescent="0.3">
      <c r="A14" s="25" t="s">
        <v>98</v>
      </c>
      <c r="B14" s="27" t="s">
        <v>143</v>
      </c>
      <c r="C14" s="27" t="s">
        <v>173</v>
      </c>
      <c r="D14" s="27" t="s">
        <v>164</v>
      </c>
      <c r="E14" s="27" t="s">
        <v>193</v>
      </c>
      <c r="F14" s="27">
        <v>2</v>
      </c>
      <c r="G14" s="27">
        <v>1</v>
      </c>
      <c r="H14" s="28">
        <f t="shared" si="0"/>
        <v>2</v>
      </c>
      <c r="I14" s="28" t="str">
        <f t="shared" si="1"/>
        <v>Bajo</v>
      </c>
      <c r="J14" s="27" t="s">
        <v>67</v>
      </c>
      <c r="K14" s="27" t="s">
        <v>218</v>
      </c>
      <c r="L14" s="27">
        <v>12</v>
      </c>
      <c r="M14" s="27" t="s">
        <v>219</v>
      </c>
      <c r="N14" s="28" t="str">
        <f t="shared" si="2"/>
        <v>Baja</v>
      </c>
      <c r="O14" s="26" t="s">
        <v>232</v>
      </c>
      <c r="P14" s="26" t="s">
        <v>229</v>
      </c>
      <c r="Q14" s="26" t="s">
        <v>230</v>
      </c>
    </row>
    <row r="15" spans="1:17" ht="28.8" x14ac:dyDescent="0.3">
      <c r="A15" s="25" t="s">
        <v>99</v>
      </c>
      <c r="B15" s="27" t="s">
        <v>143</v>
      </c>
      <c r="C15" s="27" t="s">
        <v>174</v>
      </c>
      <c r="D15" s="27" t="s">
        <v>175</v>
      </c>
      <c r="E15" s="27" t="s">
        <v>194</v>
      </c>
      <c r="F15" s="27">
        <v>2</v>
      </c>
      <c r="G15" s="27">
        <v>2</v>
      </c>
      <c r="H15" s="28">
        <f t="shared" si="0"/>
        <v>4</v>
      </c>
      <c r="I15" s="28" t="str">
        <f t="shared" si="1"/>
        <v>Medio</v>
      </c>
      <c r="J15" s="27" t="s">
        <v>65</v>
      </c>
      <c r="K15" s="27" t="s">
        <v>220</v>
      </c>
      <c r="L15" s="27">
        <v>9</v>
      </c>
      <c r="M15" s="27" t="s">
        <v>221</v>
      </c>
      <c r="N15" s="28" t="str">
        <f t="shared" si="2"/>
        <v>Media</v>
      </c>
      <c r="O15" s="26" t="s">
        <v>232</v>
      </c>
      <c r="P15" s="26" t="s">
        <v>229</v>
      </c>
      <c r="Q15" s="26" t="s">
        <v>230</v>
      </c>
    </row>
    <row r="16" spans="1:17" ht="43.2" x14ac:dyDescent="0.3">
      <c r="A16" s="25" t="s">
        <v>100</v>
      </c>
      <c r="B16" s="27" t="s">
        <v>143</v>
      </c>
      <c r="C16" s="27" t="s">
        <v>176</v>
      </c>
      <c r="D16" s="27" t="s">
        <v>177</v>
      </c>
      <c r="E16" s="27" t="s">
        <v>195</v>
      </c>
      <c r="F16" s="27">
        <v>2</v>
      </c>
      <c r="G16" s="27">
        <v>2</v>
      </c>
      <c r="H16" s="28">
        <f t="shared" si="0"/>
        <v>4</v>
      </c>
      <c r="I16" s="28" t="str">
        <f t="shared" si="1"/>
        <v>Medio</v>
      </c>
      <c r="J16" s="27" t="s">
        <v>65</v>
      </c>
      <c r="K16" s="27" t="s">
        <v>222</v>
      </c>
      <c r="L16" s="27">
        <v>10</v>
      </c>
      <c r="M16" s="27" t="s">
        <v>223</v>
      </c>
      <c r="N16" s="28" t="str">
        <f t="shared" si="2"/>
        <v>Media</v>
      </c>
      <c r="O16" s="26" t="s">
        <v>232</v>
      </c>
      <c r="P16" s="26" t="s">
        <v>229</v>
      </c>
      <c r="Q16" s="26" t="s">
        <v>230</v>
      </c>
    </row>
    <row r="17" spans="1:17" ht="28.8" x14ac:dyDescent="0.3">
      <c r="A17" s="25" t="s">
        <v>101</v>
      </c>
      <c r="B17" s="27" t="s">
        <v>143</v>
      </c>
      <c r="C17" s="27" t="s">
        <v>178</v>
      </c>
      <c r="D17" s="27" t="s">
        <v>179</v>
      </c>
      <c r="E17" s="27" t="s">
        <v>196</v>
      </c>
      <c r="F17" s="27">
        <v>2</v>
      </c>
      <c r="G17" s="27">
        <v>2</v>
      </c>
      <c r="H17" s="28">
        <f t="shared" si="0"/>
        <v>4</v>
      </c>
      <c r="I17" s="28" t="str">
        <f t="shared" si="1"/>
        <v>Medio</v>
      </c>
      <c r="J17" s="27" t="s">
        <v>65</v>
      </c>
      <c r="K17" s="27" t="s">
        <v>224</v>
      </c>
      <c r="L17" s="27">
        <v>11</v>
      </c>
      <c r="M17" s="27" t="s">
        <v>225</v>
      </c>
      <c r="N17" s="28" t="str">
        <f t="shared" si="2"/>
        <v>Media</v>
      </c>
      <c r="O17" s="26" t="s">
        <v>232</v>
      </c>
      <c r="P17" s="26" t="s">
        <v>229</v>
      </c>
      <c r="Q17" s="26" t="s">
        <v>230</v>
      </c>
    </row>
    <row r="18" spans="1:17" ht="28.8" x14ac:dyDescent="0.3">
      <c r="A18" s="25" t="s">
        <v>102</v>
      </c>
      <c r="B18" s="27" t="s">
        <v>144</v>
      </c>
      <c r="C18" s="27" t="s">
        <v>180</v>
      </c>
      <c r="D18" s="27" t="s">
        <v>181</v>
      </c>
      <c r="E18" s="27" t="s">
        <v>197</v>
      </c>
      <c r="F18" s="27">
        <v>2</v>
      </c>
      <c r="G18" s="27">
        <v>2</v>
      </c>
      <c r="H18" s="28">
        <f t="shared" si="0"/>
        <v>4</v>
      </c>
      <c r="I18" s="28" t="str">
        <f t="shared" si="1"/>
        <v>Medio</v>
      </c>
      <c r="J18" s="27" t="s">
        <v>71</v>
      </c>
      <c r="K18" s="27" t="s">
        <v>226</v>
      </c>
      <c r="L18" s="27" t="s">
        <v>208</v>
      </c>
      <c r="M18" s="27" t="s">
        <v>209</v>
      </c>
      <c r="N18" s="28" t="str">
        <f t="shared" si="2"/>
        <v>Media</v>
      </c>
      <c r="O18" s="26" t="s">
        <v>232</v>
      </c>
      <c r="P18" s="26" t="s">
        <v>229</v>
      </c>
      <c r="Q18" s="26" t="s">
        <v>230</v>
      </c>
    </row>
    <row r="19" spans="1:17" ht="43.2" x14ac:dyDescent="0.3">
      <c r="A19" s="25" t="s">
        <v>103</v>
      </c>
      <c r="B19" s="27" t="s">
        <v>144</v>
      </c>
      <c r="C19" s="27" t="s">
        <v>182</v>
      </c>
      <c r="D19" s="27" t="s">
        <v>183</v>
      </c>
      <c r="E19" s="27" t="s">
        <v>198</v>
      </c>
      <c r="F19" s="27">
        <v>2</v>
      </c>
      <c r="G19" s="27">
        <v>2</v>
      </c>
      <c r="H19" s="28">
        <f t="shared" ref="H5:H44" si="3">IF(OR(F19="",G19=""),"",F19*G19)</f>
        <v>4</v>
      </c>
      <c r="I19" s="28" t="str">
        <f t="shared" ref="I5:I44" si="4">IF(H19="","",IF(H19&gt;=6,"Alto",IF(H19&gt;=3,"Medio","Bajo")))</f>
        <v>Medio</v>
      </c>
      <c r="J19" s="27" t="s">
        <v>71</v>
      </c>
      <c r="K19" s="27" t="s">
        <v>227</v>
      </c>
      <c r="L19" s="27" t="s">
        <v>208</v>
      </c>
      <c r="M19" s="27" t="s">
        <v>209</v>
      </c>
      <c r="N19" s="28" t="str">
        <f t="shared" ref="N5:N44" si="5">IF(I19="","",IF(I19="Alto","Alta",IF(I19="Medio","Media","Baja")))</f>
        <v>Media</v>
      </c>
      <c r="O19" s="26" t="s">
        <v>232</v>
      </c>
      <c r="P19" s="26" t="s">
        <v>229</v>
      </c>
      <c r="Q19" s="26" t="s">
        <v>230</v>
      </c>
    </row>
    <row r="20" spans="1:17" x14ac:dyDescent="0.3">
      <c r="A20" s="25" t="s">
        <v>104</v>
      </c>
      <c r="B20" s="27"/>
      <c r="C20" s="27"/>
      <c r="D20" s="27"/>
      <c r="E20" s="27"/>
      <c r="F20" s="26"/>
      <c r="G20" s="26"/>
      <c r="H20" s="28" t="str">
        <f t="shared" si="3"/>
        <v/>
      </c>
      <c r="I20" s="28" t="str">
        <f t="shared" si="4"/>
        <v/>
      </c>
      <c r="J20" s="27"/>
      <c r="K20" s="27"/>
      <c r="L20" s="26"/>
      <c r="M20" s="27"/>
      <c r="N20" s="28" t="str">
        <f>IF(I20="","",IF(I20="Alto","Alta",IF(I20="Medio","Media","Baja")))</f>
        <v/>
      </c>
      <c r="O20" s="27"/>
      <c r="P20" s="26"/>
      <c r="Q20" s="26"/>
    </row>
    <row r="21" spans="1:17" x14ac:dyDescent="0.3">
      <c r="A21" s="25" t="s">
        <v>105</v>
      </c>
      <c r="B21" s="27"/>
      <c r="C21" s="27"/>
      <c r="D21" s="27"/>
      <c r="E21" s="27"/>
      <c r="F21" s="26"/>
      <c r="G21" s="26"/>
      <c r="H21" s="28" t="str">
        <f t="shared" si="3"/>
        <v/>
      </c>
      <c r="I21" s="28" t="str">
        <f t="shared" si="4"/>
        <v/>
      </c>
      <c r="J21" s="27"/>
      <c r="K21" s="27"/>
      <c r="L21" s="26"/>
      <c r="M21" s="27"/>
      <c r="N21" s="28" t="str">
        <f t="shared" si="5"/>
        <v/>
      </c>
      <c r="O21" s="27"/>
      <c r="P21" s="26"/>
      <c r="Q21" s="26"/>
    </row>
    <row r="22" spans="1:17" x14ac:dyDescent="0.3">
      <c r="A22" s="25" t="s">
        <v>106</v>
      </c>
      <c r="B22" s="27"/>
      <c r="C22" s="27"/>
      <c r="D22" s="27"/>
      <c r="E22" s="27"/>
      <c r="F22" s="26"/>
      <c r="G22" s="26"/>
      <c r="H22" s="28" t="str">
        <f t="shared" si="3"/>
        <v/>
      </c>
      <c r="I22" s="28" t="str">
        <f t="shared" si="4"/>
        <v/>
      </c>
      <c r="J22" s="27"/>
      <c r="K22" s="27"/>
      <c r="L22" s="26"/>
      <c r="M22" s="27"/>
      <c r="N22" s="28" t="str">
        <f t="shared" si="5"/>
        <v/>
      </c>
      <c r="O22" s="27"/>
      <c r="P22" s="26"/>
      <c r="Q22" s="26"/>
    </row>
    <row r="23" spans="1:17" x14ac:dyDescent="0.3">
      <c r="A23" s="25" t="s">
        <v>107</v>
      </c>
      <c r="B23" s="26"/>
      <c r="C23" s="27"/>
      <c r="D23" s="27"/>
      <c r="E23" s="27"/>
      <c r="F23" s="26"/>
      <c r="G23" s="26"/>
      <c r="H23" s="28" t="str">
        <f t="shared" si="3"/>
        <v/>
      </c>
      <c r="I23" s="28" t="str">
        <f t="shared" si="4"/>
        <v/>
      </c>
      <c r="J23" s="27"/>
      <c r="K23" s="27"/>
      <c r="L23" s="26"/>
      <c r="M23" s="27"/>
      <c r="N23" s="28" t="str">
        <f t="shared" si="5"/>
        <v/>
      </c>
      <c r="O23" s="27"/>
      <c r="P23" s="26"/>
      <c r="Q23" s="26"/>
    </row>
    <row r="24" spans="1:17" x14ac:dyDescent="0.3">
      <c r="A24" s="25" t="s">
        <v>108</v>
      </c>
      <c r="B24" s="26"/>
      <c r="C24" s="27"/>
      <c r="D24" s="27"/>
      <c r="E24" s="27"/>
      <c r="F24" s="26"/>
      <c r="G24" s="26"/>
      <c r="H24" s="28" t="str">
        <f t="shared" si="3"/>
        <v/>
      </c>
      <c r="I24" s="28" t="str">
        <f t="shared" si="4"/>
        <v/>
      </c>
      <c r="J24" s="27"/>
      <c r="K24" s="27"/>
      <c r="L24" s="26"/>
      <c r="M24" s="27"/>
      <c r="N24" s="28" t="str">
        <f t="shared" si="5"/>
        <v/>
      </c>
      <c r="O24" s="27"/>
      <c r="P24" s="26"/>
      <c r="Q24" s="26"/>
    </row>
    <row r="25" spans="1:17" x14ac:dyDescent="0.3">
      <c r="A25" s="25" t="s">
        <v>109</v>
      </c>
      <c r="B25" s="26"/>
      <c r="C25" s="27"/>
      <c r="D25" s="27"/>
      <c r="E25" s="27"/>
      <c r="F25" s="26"/>
      <c r="G25" s="26"/>
      <c r="H25" s="28" t="str">
        <f t="shared" si="3"/>
        <v/>
      </c>
      <c r="I25" s="28" t="str">
        <f t="shared" si="4"/>
        <v/>
      </c>
      <c r="J25" s="27"/>
      <c r="K25" s="27"/>
      <c r="L25" s="26"/>
      <c r="M25" s="27"/>
      <c r="N25" s="28" t="str">
        <f t="shared" si="5"/>
        <v/>
      </c>
      <c r="O25" s="27"/>
      <c r="P25" s="26"/>
      <c r="Q25" s="26"/>
    </row>
    <row r="26" spans="1:17" x14ac:dyDescent="0.3">
      <c r="A26" s="25" t="s">
        <v>110</v>
      </c>
      <c r="B26" s="26"/>
      <c r="C26" s="27"/>
      <c r="D26" s="27"/>
      <c r="E26" s="27"/>
      <c r="F26" s="26"/>
      <c r="G26" s="26"/>
      <c r="H26" s="28" t="str">
        <f t="shared" si="3"/>
        <v/>
      </c>
      <c r="I26" s="28" t="str">
        <f t="shared" si="4"/>
        <v/>
      </c>
      <c r="J26" s="27"/>
      <c r="K26" s="27"/>
      <c r="L26" s="26"/>
      <c r="M26" s="27"/>
      <c r="N26" s="28" t="str">
        <f t="shared" si="5"/>
        <v/>
      </c>
      <c r="O26" s="27"/>
      <c r="P26" s="26"/>
      <c r="Q26" s="26"/>
    </row>
    <row r="27" spans="1:17" x14ac:dyDescent="0.3">
      <c r="A27" s="25" t="s">
        <v>111</v>
      </c>
      <c r="B27" s="26"/>
      <c r="C27" s="27"/>
      <c r="D27" s="27"/>
      <c r="E27" s="27"/>
      <c r="F27" s="26"/>
      <c r="G27" s="26"/>
      <c r="H27" s="28" t="str">
        <f t="shared" si="3"/>
        <v/>
      </c>
      <c r="I27" s="28" t="str">
        <f t="shared" si="4"/>
        <v/>
      </c>
      <c r="J27" s="27"/>
      <c r="K27" s="27"/>
      <c r="L27" s="26"/>
      <c r="M27" s="27"/>
      <c r="N27" s="28" t="str">
        <f t="shared" si="5"/>
        <v/>
      </c>
      <c r="O27" s="27"/>
      <c r="P27" s="26"/>
      <c r="Q27" s="26"/>
    </row>
    <row r="28" spans="1:17" x14ac:dyDescent="0.3">
      <c r="A28" s="25" t="s">
        <v>112</v>
      </c>
      <c r="B28" s="26"/>
      <c r="C28" s="27"/>
      <c r="D28" s="27"/>
      <c r="E28" s="27"/>
      <c r="F28" s="26"/>
      <c r="G28" s="26"/>
      <c r="H28" s="28" t="str">
        <f t="shared" si="3"/>
        <v/>
      </c>
      <c r="I28" s="28" t="str">
        <f t="shared" si="4"/>
        <v/>
      </c>
      <c r="J28" s="27"/>
      <c r="K28" s="27"/>
      <c r="L28" s="26"/>
      <c r="M28" s="27"/>
      <c r="N28" s="28" t="str">
        <f t="shared" si="5"/>
        <v/>
      </c>
      <c r="O28" s="27"/>
      <c r="P28" s="26"/>
      <c r="Q28" s="26"/>
    </row>
    <row r="29" spans="1:17" x14ac:dyDescent="0.3">
      <c r="A29" s="25" t="s">
        <v>113</v>
      </c>
      <c r="B29" s="26"/>
      <c r="C29" s="27"/>
      <c r="D29" s="27"/>
      <c r="E29" s="27"/>
      <c r="F29" s="26"/>
      <c r="G29" s="26"/>
      <c r="H29" s="28" t="str">
        <f t="shared" si="3"/>
        <v/>
      </c>
      <c r="I29" s="28" t="str">
        <f t="shared" si="4"/>
        <v/>
      </c>
      <c r="J29" s="27"/>
      <c r="K29" s="27"/>
      <c r="L29" s="26"/>
      <c r="M29" s="27"/>
      <c r="N29" s="28" t="str">
        <f t="shared" si="5"/>
        <v/>
      </c>
      <c r="O29" s="27"/>
      <c r="P29" s="26"/>
      <c r="Q29" s="26"/>
    </row>
    <row r="30" spans="1:17" x14ac:dyDescent="0.3">
      <c r="A30" s="25" t="s">
        <v>114</v>
      </c>
      <c r="B30" s="26"/>
      <c r="C30" s="27"/>
      <c r="D30" s="27"/>
      <c r="E30" s="27"/>
      <c r="F30" s="26"/>
      <c r="G30" s="26"/>
      <c r="H30" s="28" t="str">
        <f t="shared" si="3"/>
        <v/>
      </c>
      <c r="I30" s="28" t="str">
        <f t="shared" si="4"/>
        <v/>
      </c>
      <c r="J30" s="27"/>
      <c r="K30" s="27"/>
      <c r="L30" s="26"/>
      <c r="M30" s="27"/>
      <c r="N30" s="28" t="str">
        <f t="shared" si="5"/>
        <v/>
      </c>
      <c r="O30" s="27"/>
      <c r="P30" s="26"/>
      <c r="Q30" s="26"/>
    </row>
    <row r="31" spans="1:17" x14ac:dyDescent="0.3">
      <c r="A31" s="25" t="s">
        <v>115</v>
      </c>
      <c r="B31" s="26"/>
      <c r="C31" s="27"/>
      <c r="D31" s="27"/>
      <c r="E31" s="32"/>
      <c r="F31" s="26"/>
      <c r="G31" s="26"/>
      <c r="H31" s="28" t="str">
        <f t="shared" si="3"/>
        <v/>
      </c>
      <c r="I31" s="28" t="str">
        <f t="shared" si="4"/>
        <v/>
      </c>
      <c r="J31" s="27"/>
      <c r="K31" s="27"/>
      <c r="L31" s="26"/>
      <c r="M31" s="27"/>
      <c r="N31" s="28" t="str">
        <f t="shared" si="5"/>
        <v/>
      </c>
      <c r="O31" s="27"/>
      <c r="P31" s="26"/>
      <c r="Q31" s="26"/>
    </row>
    <row r="32" spans="1:17" x14ac:dyDescent="0.3">
      <c r="A32" s="25" t="s">
        <v>116</v>
      </c>
      <c r="B32" s="26"/>
      <c r="C32" s="27"/>
      <c r="D32" s="27"/>
      <c r="E32" s="27"/>
      <c r="F32" s="26"/>
      <c r="G32" s="26"/>
      <c r="H32" s="28" t="str">
        <f t="shared" si="3"/>
        <v/>
      </c>
      <c r="I32" s="28" t="str">
        <f t="shared" si="4"/>
        <v/>
      </c>
      <c r="J32" s="27"/>
      <c r="K32" s="27"/>
      <c r="L32" s="26"/>
      <c r="M32" s="27"/>
      <c r="N32" s="28" t="str">
        <f t="shared" si="5"/>
        <v/>
      </c>
      <c r="O32" s="27"/>
      <c r="P32" s="26"/>
      <c r="Q32" s="26"/>
    </row>
    <row r="33" spans="1:17" x14ac:dyDescent="0.3">
      <c r="A33" s="25" t="s">
        <v>117</v>
      </c>
      <c r="B33" s="26"/>
      <c r="C33" s="27"/>
      <c r="D33" s="27"/>
      <c r="E33" s="27"/>
      <c r="F33" s="26"/>
      <c r="G33" s="26"/>
      <c r="H33" s="28" t="str">
        <f t="shared" si="3"/>
        <v/>
      </c>
      <c r="I33" s="28" t="str">
        <f t="shared" si="4"/>
        <v/>
      </c>
      <c r="J33" s="27"/>
      <c r="K33" s="27"/>
      <c r="L33" s="26"/>
      <c r="M33" s="27"/>
      <c r="N33" s="28" t="str">
        <f t="shared" si="5"/>
        <v/>
      </c>
      <c r="O33" s="27"/>
      <c r="P33" s="26"/>
      <c r="Q33" s="26"/>
    </row>
    <row r="34" spans="1:17" x14ac:dyDescent="0.3">
      <c r="A34" s="25" t="s">
        <v>118</v>
      </c>
      <c r="B34" s="26"/>
      <c r="C34" s="27"/>
      <c r="D34" s="27"/>
      <c r="E34" s="27"/>
      <c r="F34" s="26"/>
      <c r="G34" s="26"/>
      <c r="H34" s="28" t="str">
        <f t="shared" si="3"/>
        <v/>
      </c>
      <c r="I34" s="28" t="str">
        <f t="shared" si="4"/>
        <v/>
      </c>
      <c r="J34" s="27"/>
      <c r="K34" s="27"/>
      <c r="L34" s="26"/>
      <c r="M34" s="27"/>
      <c r="N34" s="28" t="str">
        <f t="shared" si="5"/>
        <v/>
      </c>
      <c r="O34" s="27"/>
      <c r="P34" s="26"/>
      <c r="Q34" s="26"/>
    </row>
    <row r="35" spans="1:17" x14ac:dyDescent="0.3">
      <c r="A35" s="25" t="s">
        <v>119</v>
      </c>
      <c r="B35" s="26"/>
      <c r="C35" s="27"/>
      <c r="D35" s="27"/>
      <c r="E35" s="27"/>
      <c r="F35" s="26"/>
      <c r="G35" s="26"/>
      <c r="H35" s="28" t="str">
        <f t="shared" si="3"/>
        <v/>
      </c>
      <c r="I35" s="28" t="str">
        <f t="shared" si="4"/>
        <v/>
      </c>
      <c r="J35" s="27"/>
      <c r="K35" s="27"/>
      <c r="L35" s="26"/>
      <c r="M35" s="27"/>
      <c r="N35" s="28" t="str">
        <f t="shared" si="5"/>
        <v/>
      </c>
      <c r="O35" s="27"/>
      <c r="P35" s="26"/>
      <c r="Q35" s="26"/>
    </row>
    <row r="36" spans="1:17" x14ac:dyDescent="0.3">
      <c r="A36" s="25" t="s">
        <v>120</v>
      </c>
      <c r="B36" s="26"/>
      <c r="C36" s="27"/>
      <c r="D36" s="27"/>
      <c r="E36" s="27"/>
      <c r="F36" s="26"/>
      <c r="G36" s="26"/>
      <c r="H36" s="28" t="str">
        <f t="shared" si="3"/>
        <v/>
      </c>
      <c r="I36" s="28" t="str">
        <f t="shared" si="4"/>
        <v/>
      </c>
      <c r="J36" s="27"/>
      <c r="K36" s="27"/>
      <c r="L36" s="26"/>
      <c r="M36" s="27"/>
      <c r="N36" s="28" t="str">
        <f t="shared" si="5"/>
        <v/>
      </c>
      <c r="O36" s="27"/>
      <c r="P36" s="26"/>
      <c r="Q36" s="26"/>
    </row>
    <row r="37" spans="1:17" x14ac:dyDescent="0.3">
      <c r="A37" s="25" t="s">
        <v>121</v>
      </c>
      <c r="B37" s="26"/>
      <c r="C37" s="27"/>
      <c r="D37" s="27"/>
      <c r="E37" s="27"/>
      <c r="F37" s="26"/>
      <c r="G37" s="26"/>
      <c r="H37" s="28" t="str">
        <f t="shared" si="3"/>
        <v/>
      </c>
      <c r="I37" s="28" t="str">
        <f t="shared" si="4"/>
        <v/>
      </c>
      <c r="J37" s="27"/>
      <c r="K37" s="27"/>
      <c r="L37" s="26"/>
      <c r="M37" s="27"/>
      <c r="N37" s="28" t="str">
        <f t="shared" si="5"/>
        <v/>
      </c>
      <c r="O37" s="27"/>
      <c r="P37" s="26"/>
      <c r="Q37" s="26"/>
    </row>
    <row r="38" spans="1:17" x14ac:dyDescent="0.3">
      <c r="A38" s="25" t="s">
        <v>122</v>
      </c>
      <c r="B38" s="26"/>
      <c r="C38" s="27"/>
      <c r="D38" s="27"/>
      <c r="E38" s="27"/>
      <c r="F38" s="26"/>
      <c r="G38" s="26"/>
      <c r="H38" s="28" t="str">
        <f t="shared" si="3"/>
        <v/>
      </c>
      <c r="I38" s="28" t="str">
        <f t="shared" si="4"/>
        <v/>
      </c>
      <c r="J38" s="27"/>
      <c r="K38" s="27"/>
      <c r="L38" s="26"/>
      <c r="M38" s="27"/>
      <c r="N38" s="28" t="str">
        <f t="shared" si="5"/>
        <v/>
      </c>
      <c r="O38" s="27"/>
      <c r="P38" s="26"/>
      <c r="Q38" s="26"/>
    </row>
    <row r="39" spans="1:17" x14ac:dyDescent="0.3">
      <c r="A39" s="25" t="s">
        <v>123</v>
      </c>
      <c r="B39" s="26"/>
      <c r="C39" s="27"/>
      <c r="D39" s="27"/>
      <c r="E39" s="27"/>
      <c r="F39" s="26"/>
      <c r="G39" s="26"/>
      <c r="H39" s="28" t="str">
        <f t="shared" si="3"/>
        <v/>
      </c>
      <c r="I39" s="28" t="str">
        <f t="shared" si="4"/>
        <v/>
      </c>
      <c r="J39" s="27"/>
      <c r="K39" s="27"/>
      <c r="L39" s="26"/>
      <c r="M39" s="27"/>
      <c r="N39" s="28" t="str">
        <f t="shared" si="5"/>
        <v/>
      </c>
      <c r="O39" s="27"/>
      <c r="P39" s="26"/>
      <c r="Q39" s="26"/>
    </row>
    <row r="40" spans="1:17" x14ac:dyDescent="0.3">
      <c r="A40" s="25" t="s">
        <v>124</v>
      </c>
      <c r="B40" s="26"/>
      <c r="C40" s="27"/>
      <c r="D40" s="27"/>
      <c r="E40" s="27"/>
      <c r="F40" s="26"/>
      <c r="G40" s="26"/>
      <c r="H40" s="28" t="str">
        <f t="shared" si="3"/>
        <v/>
      </c>
      <c r="I40" s="28" t="str">
        <f t="shared" si="4"/>
        <v/>
      </c>
      <c r="J40" s="27"/>
      <c r="K40" s="27"/>
      <c r="L40" s="26"/>
      <c r="M40" s="27"/>
      <c r="N40" s="28" t="str">
        <f t="shared" si="5"/>
        <v/>
      </c>
      <c r="O40" s="27"/>
      <c r="P40" s="26"/>
      <c r="Q40" s="26"/>
    </row>
    <row r="41" spans="1:17" x14ac:dyDescent="0.3">
      <c r="A41" s="25" t="s">
        <v>125</v>
      </c>
      <c r="B41" s="26"/>
      <c r="C41" s="27"/>
      <c r="D41" s="27"/>
      <c r="E41" s="27"/>
      <c r="F41" s="26"/>
      <c r="G41" s="26"/>
      <c r="H41" s="28" t="str">
        <f t="shared" si="3"/>
        <v/>
      </c>
      <c r="I41" s="28" t="str">
        <f t="shared" si="4"/>
        <v/>
      </c>
      <c r="J41" s="27"/>
      <c r="K41" s="27"/>
      <c r="L41" s="26"/>
      <c r="M41" s="27"/>
      <c r="N41" s="28" t="str">
        <f t="shared" si="5"/>
        <v/>
      </c>
      <c r="O41" s="27"/>
      <c r="P41" s="26"/>
      <c r="Q41" s="26"/>
    </row>
    <row r="42" spans="1:17" x14ac:dyDescent="0.3">
      <c r="A42" s="25" t="s">
        <v>126</v>
      </c>
      <c r="B42" s="26"/>
      <c r="C42" s="27"/>
      <c r="D42" s="27"/>
      <c r="E42" s="27"/>
      <c r="F42" s="26"/>
      <c r="G42" s="26"/>
      <c r="H42" s="28" t="str">
        <f t="shared" si="3"/>
        <v/>
      </c>
      <c r="I42" s="28" t="str">
        <f t="shared" si="4"/>
        <v/>
      </c>
      <c r="J42" s="27"/>
      <c r="K42" s="27"/>
      <c r="L42" s="26"/>
      <c r="M42" s="27"/>
      <c r="N42" s="28" t="str">
        <f t="shared" si="5"/>
        <v/>
      </c>
      <c r="O42" s="27"/>
      <c r="P42" s="26"/>
      <c r="Q42" s="26"/>
    </row>
    <row r="43" spans="1:17" x14ac:dyDescent="0.3">
      <c r="A43" s="25" t="s">
        <v>127</v>
      </c>
      <c r="B43" s="26"/>
      <c r="C43" s="27"/>
      <c r="D43" s="27"/>
      <c r="E43" s="27"/>
      <c r="F43" s="26"/>
      <c r="G43" s="26"/>
      <c r="H43" s="28" t="str">
        <f t="shared" si="3"/>
        <v/>
      </c>
      <c r="I43" s="28" t="str">
        <f t="shared" si="4"/>
        <v/>
      </c>
      <c r="J43" s="27"/>
      <c r="K43" s="27"/>
      <c r="L43" s="26"/>
      <c r="M43" s="27"/>
      <c r="N43" s="28" t="str">
        <f t="shared" si="5"/>
        <v/>
      </c>
      <c r="O43" s="27"/>
      <c r="P43" s="26"/>
      <c r="Q43" s="26"/>
    </row>
    <row r="44" spans="1:17" x14ac:dyDescent="0.3">
      <c r="A44" s="25" t="s">
        <v>128</v>
      </c>
      <c r="B44" s="26"/>
      <c r="C44" s="27"/>
      <c r="D44" s="27"/>
      <c r="E44" s="27"/>
      <c r="F44" s="26"/>
      <c r="G44" s="26"/>
      <c r="H44" s="28" t="str">
        <f t="shared" si="3"/>
        <v/>
      </c>
      <c r="I44" s="28" t="str">
        <f t="shared" si="4"/>
        <v/>
      </c>
      <c r="J44" s="27"/>
      <c r="K44" s="27"/>
      <c r="L44" s="26"/>
      <c r="M44" s="27"/>
      <c r="N44" s="28" t="str">
        <f t="shared" si="5"/>
        <v/>
      </c>
      <c r="O44" s="27"/>
      <c r="P44" s="26"/>
      <c r="Q44" s="26"/>
    </row>
  </sheetData>
  <autoFilter ref="A4:Q44" xr:uid="{00000000-0009-0000-0000-000002000000}"/>
  <conditionalFormatting sqref="H5:I44">
    <cfRule type="expression" dxfId="4" priority="2">
      <formula>$I5="Alto"</formula>
    </cfRule>
    <cfRule type="expression" dxfId="3" priority="3">
      <formula>$I5="Medio"</formula>
    </cfRule>
    <cfRule type="expression" dxfId="2" priority="4">
      <formula>$I5="Bajo"</formula>
    </cfRule>
  </conditionalFormatting>
  <dataValidations count="5">
    <dataValidation type="list" allowBlank="1" showErrorMessage="1" errorTitle="Tipo" error="Elijan Producto o Proyecto." sqref="B20:B44" xr:uid="{00000000-0002-0000-0200-000000000000}">
      <formula1>"Producto,Proyecto"</formula1>
      <formula2>0</formula2>
    </dataValidation>
    <dataValidation type="whole" allowBlank="1" showErrorMessage="1" errorTitle="Valor fuera de escala" error="Usen un entero de 1 a 3." sqref="F20:G44" xr:uid="{00000000-0002-0000-0200-000001000000}">
      <formula1>1</formula1>
      <formula2>3</formula2>
    </dataValidation>
    <dataValidation type="list" allowBlank="1" showErrorMessage="1" errorTitle="Respuesta" error="Elijan una respuesta de la lista." sqref="J20:J44" xr:uid="{00000000-0002-0000-0200-000002000000}">
      <formula1>"Mitigar con pruebas,Aceptar,Transferir,Plan de contingencia"</formula1>
      <formula2>0</formula2>
    </dataValidation>
    <dataValidation type="list" allowBlank="1" showErrorMessage="1" errorTitle="Estado" error="Elijan un estado de la lista." sqref="P20:P44" xr:uid="{00000000-0002-0000-0200-000003000000}">
      <formula1>"Abierto,En mitigación,Mitigado,Materializado,Cerrado"</formula1>
      <formula2>0</formula2>
    </dataValidation>
    <dataValidation type="list" allowBlank="1" showErrorMessage="1" errorTitle="Revisión" error="Elijan la entrega." sqref="Q20:Q44" xr:uid="{00000000-0002-0000-0200-000004000000}">
      <formula1>"Entrega 1,Entrega 2,Entrega 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3D59"/>
  </sheetPr>
  <dimension ref="B2:H12"/>
  <sheetViews>
    <sheetView showGridLines="0" zoomScaleNormal="100" workbookViewId="0">
      <selection activeCell="E20" sqref="E20"/>
    </sheetView>
  </sheetViews>
  <sheetFormatPr baseColWidth="10" defaultColWidth="8.6640625" defaultRowHeight="14.4" x14ac:dyDescent="0.3"/>
  <cols>
    <col min="1" max="1" width="3" customWidth="1"/>
    <col min="2" max="2" width="16" customWidth="1"/>
    <col min="3" max="5" width="18" customWidth="1"/>
    <col min="6" max="6" width="3" customWidth="1"/>
    <col min="7" max="7" width="14" customWidth="1"/>
    <col min="8" max="8" width="40" customWidth="1"/>
  </cols>
  <sheetData>
    <row r="2" spans="2:8" ht="23.4" x14ac:dyDescent="0.45">
      <c r="B2" s="15" t="s">
        <v>129</v>
      </c>
    </row>
    <row r="3" spans="2:8" x14ac:dyDescent="0.3">
      <c r="B3" s="3" t="s">
        <v>130</v>
      </c>
    </row>
    <row r="5" spans="2:8" x14ac:dyDescent="0.3">
      <c r="B5" s="29" t="s">
        <v>131</v>
      </c>
      <c r="C5" s="17" t="s">
        <v>132</v>
      </c>
      <c r="D5" s="17" t="s">
        <v>133</v>
      </c>
      <c r="E5" s="17" t="s">
        <v>134</v>
      </c>
    </row>
    <row r="6" spans="2:8" ht="48" customHeight="1" x14ac:dyDescent="0.3">
      <c r="B6" s="17" t="s">
        <v>135</v>
      </c>
      <c r="C6" s="21" t="str">
        <f>"3 · Medio"&amp;CHAR(10)&amp;COUNTIFS('Registro de riesgos'!$F$5:$F$44,3,'Registro de riesgos'!$G$5:$G$44,1)&amp;" riesgo(s)"</f>
        <v>3 · Medio
0 riesgo(s)</v>
      </c>
      <c r="D6" s="20" t="str">
        <f>"6 · Alto"&amp;CHAR(10)&amp;COUNTIFS('Registro de riesgos'!$F$5:$F$44,3,'Registro de riesgos'!$G$5:$G$44,2)&amp;" riesgo(s)"</f>
        <v>6 · Alto
1 riesgo(s)</v>
      </c>
      <c r="E6" s="20" t="str">
        <f>"9 · Alto"&amp;CHAR(10)&amp;COUNTIFS('Registro de riesgos'!$F$5:$F$44,3,'Registro de riesgos'!$G$5:$G$44,3)&amp;" riesgo(s)"</f>
        <v>9 · Alto
1 riesgo(s)</v>
      </c>
      <c r="G6" s="20" t="s">
        <v>50</v>
      </c>
      <c r="H6" s="9" t="s">
        <v>136</v>
      </c>
    </row>
    <row r="7" spans="2:8" ht="48" customHeight="1" x14ac:dyDescent="0.3">
      <c r="B7" s="17" t="s">
        <v>137</v>
      </c>
      <c r="C7" s="22" t="str">
        <f>"2 · Bajo"&amp;CHAR(10)&amp;COUNTIFS('Registro de riesgos'!$F$5:$F$44,2,'Registro de riesgos'!$G$5:$G$44,1)&amp;" riesgo(s)"</f>
        <v>2 · Bajo
1 riesgo(s)</v>
      </c>
      <c r="D7" s="21" t="str">
        <f>"4 · Medio"&amp;CHAR(10)&amp;COUNTIFS('Registro de riesgos'!$F$5:$F$44,2,'Registro de riesgos'!$G$5:$G$44,2)&amp;" riesgo(s)"</f>
        <v>4 · Medio
6 riesgo(s)</v>
      </c>
      <c r="E7" s="20" t="str">
        <f>"6 · Alto"&amp;CHAR(10)&amp;COUNTIFS('Registro de riesgos'!$F$5:$F$44,2,'Registro de riesgos'!$G$5:$G$44,3)&amp;" riesgo(s)"</f>
        <v>6 · Alto
3 riesgo(s)</v>
      </c>
      <c r="G7" s="21" t="s">
        <v>48</v>
      </c>
      <c r="H7" s="9" t="s">
        <v>138</v>
      </c>
    </row>
    <row r="8" spans="2:8" ht="48" customHeight="1" x14ac:dyDescent="0.3">
      <c r="B8" s="17" t="s">
        <v>139</v>
      </c>
      <c r="C8" s="22" t="str">
        <f>"1 · Bajo"&amp;CHAR(10)&amp;COUNTIFS('Registro de riesgos'!$F$5:$F$44,1,'Registro de riesgos'!$G$5:$G$44,1)&amp;" riesgo(s)"</f>
        <v>1 · Bajo
0 riesgo(s)</v>
      </c>
      <c r="D8" s="22" t="str">
        <f>"2 · Bajo"&amp;CHAR(10)&amp;COUNTIFS('Registro de riesgos'!$F$5:$F$44,1,'Registro de riesgos'!$G$5:$G$44,2)&amp;" riesgo(s)"</f>
        <v>2 · Bajo
0 riesgo(s)</v>
      </c>
      <c r="E8" s="21" t="str">
        <f>"3 · Medio"&amp;CHAR(10)&amp;COUNTIFS('Registro de riesgos'!$F$5:$F$44,1,'Registro de riesgos'!$G$5:$G$44,3)&amp;" riesgo(s)"</f>
        <v>3 · Medio
3 riesgo(s)</v>
      </c>
      <c r="G8" s="22" t="s">
        <v>46</v>
      </c>
      <c r="H8" s="9" t="s">
        <v>140</v>
      </c>
    </row>
    <row r="10" spans="2:8" x14ac:dyDescent="0.3">
      <c r="B10" t="s">
        <v>141</v>
      </c>
    </row>
    <row r="12" spans="2:8" x14ac:dyDescent="0.3">
      <c r="B12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3D59"/>
  </sheetPr>
  <dimension ref="B2:E14"/>
  <sheetViews>
    <sheetView showGridLines="0" tabSelected="1" zoomScaleNormal="100" workbookViewId="0"/>
  </sheetViews>
  <sheetFormatPr baseColWidth="10" defaultColWidth="8.6640625" defaultRowHeight="14.4" x14ac:dyDescent="0.3"/>
  <cols>
    <col min="1" max="1" width="3" customWidth="1"/>
    <col min="2" max="2" width="32" customWidth="1"/>
    <col min="3" max="5" width="16" customWidth="1"/>
  </cols>
  <sheetData>
    <row r="2" spans="2:5" ht="23.4" x14ac:dyDescent="0.45">
      <c r="B2" s="15" t="s">
        <v>142</v>
      </c>
    </row>
    <row r="4" spans="2:5" x14ac:dyDescent="0.3">
      <c r="B4" s="17" t="s">
        <v>54</v>
      </c>
      <c r="C4" s="17" t="s">
        <v>143</v>
      </c>
      <c r="D4" s="17" t="s">
        <v>144</v>
      </c>
      <c r="E4" s="17" t="s">
        <v>145</v>
      </c>
    </row>
    <row r="5" spans="2:5" x14ac:dyDescent="0.3">
      <c r="B5" s="20" t="s">
        <v>50</v>
      </c>
      <c r="C5" s="18">
        <f>COUNTIFS('Registro de riesgos'!$I$5:$I$44,"Alto",'Registro de riesgos'!$B$5:$B$44,"Producto")</f>
        <v>4</v>
      </c>
      <c r="D5" s="18">
        <f>COUNTIFS('Registro de riesgos'!$I$5:$I$44,"Alto",'Registro de riesgos'!$B$5:$B$44,"Proyecto")</f>
        <v>1</v>
      </c>
      <c r="E5" s="30">
        <f>C5+D5</f>
        <v>5</v>
      </c>
    </row>
    <row r="6" spans="2:5" x14ac:dyDescent="0.3">
      <c r="B6" s="21" t="s">
        <v>48</v>
      </c>
      <c r="C6" s="18">
        <f>COUNTIFS('Registro de riesgos'!$I$5:$I$44,"Medio",'Registro de riesgos'!$B$5:$B$44,"Producto")</f>
        <v>7</v>
      </c>
      <c r="D6" s="18">
        <f>COUNTIFS('Registro de riesgos'!$I$5:$I$44,"Medio",'Registro de riesgos'!$B$5:$B$44,"Proyecto")</f>
        <v>2</v>
      </c>
      <c r="E6" s="30">
        <f>C6+D6</f>
        <v>9</v>
      </c>
    </row>
    <row r="7" spans="2:5" x14ac:dyDescent="0.3">
      <c r="B7" s="22" t="s">
        <v>46</v>
      </c>
      <c r="C7" s="18">
        <f>COUNTIFS('Registro de riesgos'!$I$5:$I$44,"Bajo",'Registro de riesgos'!$B$5:$B$44,"Producto")</f>
        <v>1</v>
      </c>
      <c r="D7" s="18">
        <f>COUNTIFS('Registro de riesgos'!$I$5:$I$44,"Bajo",'Registro de riesgos'!$B$5:$B$44,"Proyecto")</f>
        <v>0</v>
      </c>
      <c r="E7" s="30">
        <f>C7+D7</f>
        <v>1</v>
      </c>
    </row>
    <row r="8" spans="2:5" x14ac:dyDescent="0.3">
      <c r="B8" s="17" t="s">
        <v>145</v>
      </c>
      <c r="C8" s="30">
        <f>SUM(C5:C7)</f>
        <v>12</v>
      </c>
      <c r="D8" s="30">
        <f>SUM(D5:D7)</f>
        <v>3</v>
      </c>
      <c r="E8" s="30">
        <f>SUM(E5:E7)</f>
        <v>15</v>
      </c>
    </row>
    <row r="10" spans="2:5" ht="17.399999999999999" x14ac:dyDescent="0.35">
      <c r="B10" s="16" t="s">
        <v>146</v>
      </c>
    </row>
    <row r="11" spans="2:5" x14ac:dyDescent="0.3">
      <c r="B11" s="9" t="s">
        <v>147</v>
      </c>
      <c r="C11" s="30">
        <f>C8</f>
        <v>12</v>
      </c>
      <c r="D11" s="30" t="str">
        <f>IF(C11&gt;=8,"OK","Falta")</f>
        <v>OK</v>
      </c>
      <c r="E11" s="14" t="s">
        <v>148</v>
      </c>
    </row>
    <row r="12" spans="2:5" x14ac:dyDescent="0.3">
      <c r="B12" s="9" t="s">
        <v>149</v>
      </c>
      <c r="C12" s="30">
        <f>D8</f>
        <v>3</v>
      </c>
      <c r="D12" s="30" t="str">
        <f>IF(C12&gt;=3,"OK","Falta")</f>
        <v>OK</v>
      </c>
      <c r="E12" s="14" t="s">
        <v>150</v>
      </c>
    </row>
    <row r="13" spans="2:5" x14ac:dyDescent="0.3">
      <c r="B13" s="9" t="s">
        <v>151</v>
      </c>
      <c r="C13" s="30">
        <f>COUNTIFS('Registro de riesgos'!$I$5:$I$44,"Alto",'Registro de riesgos'!$J$5:$J$44,"")+COUNTIFS('Registro de riesgos'!$I$5:$I$44,"Medio",'Registro de riesgos'!$J$5:$J$44,"")</f>
        <v>0</v>
      </c>
      <c r="D13" s="30" t="str">
        <f>IF(C13=0,"OK","Falta")</f>
        <v>OK</v>
      </c>
      <c r="E13" s="14" t="s">
        <v>152</v>
      </c>
    </row>
    <row r="14" spans="2:5" x14ac:dyDescent="0.3">
      <c r="B14" s="9" t="s">
        <v>153</v>
      </c>
      <c r="C14" s="30">
        <f>COUNTIFS('Registro de riesgos'!$I$5:$I$44,"Alto",'Registro de riesgos'!$B$5:$B$44,"Producto",'Registro de riesgos'!$M$5:$M$44,"")</f>
        <v>0</v>
      </c>
      <c r="D14" s="30" t="str">
        <f>IF(C14=0,"OK","Falta")</f>
        <v>OK</v>
      </c>
      <c r="E14" s="14" t="s">
        <v>152</v>
      </c>
    </row>
  </sheetData>
  <conditionalFormatting sqref="D11:D14">
    <cfRule type="expression" dxfId="1" priority="2">
      <formula>D11="OK"</formula>
    </cfRule>
    <cfRule type="expression" dxfId="0" priority="3">
      <formula>D11="Falta"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Escalas</vt:lpstr>
      <vt:lpstr>Registro de riesgos</vt:lpstr>
      <vt:lpstr>Matriz 3x3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Amalia Toledo</cp:lastModifiedBy>
  <cp:revision>0</cp:revision>
  <dcterms:created xsi:type="dcterms:W3CDTF">2026-10-02T16:42:25Z</dcterms:created>
  <dcterms:modified xsi:type="dcterms:W3CDTF">2026-10-23T00:19:17Z</dcterms:modified>
  <dc:language>en-US</dc:language>
</cp:coreProperties>
</file>